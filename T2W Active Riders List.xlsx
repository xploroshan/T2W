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<sst xmlns="http://schemas.openxmlformats.org/spreadsheetml/2006/main" count="348" uniqueCount="179">
  <si>
    <t>#</t>
  </si>
  <si>
    <t>Rider Name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</si>
  <si>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</si>
  <si>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</si>
  <si>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</si>
  <si>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</si>
  <si>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</si>
  <si>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</si>
  <si>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</si>
  <si>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</si>
  <si>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</si>
  <si>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</si>
  <si>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</si>
  <si>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</si>
  <si>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</si>
  <si>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</si>
  <si>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</si>
  <si>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</si>
  <si>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</si>
  <si>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</si>
  <si>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</si>
  <si>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</si>
  <si>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</si>
  <si>
    <t>#022</t>
  </si>
  <si>
    <t>#023</t>
  </si>
  <si>
    <t>#024</t>
  </si>
  <si>
    <t>#025</t>
  </si>
  <si>
    <t>#026</t>
  </si>
  <si>
    <t>#027</t>
  </si>
  <si>
    <t>#028</t>
  </si>
  <si>
    <t>Total Points in last 1 year</t>
  </si>
  <si>
    <t>Ride %</t>
  </si>
  <si>
    <t>Total Rides Done</t>
  </si>
  <si>
    <r>
      <rPr>
        <rFont val="Arial, sans-serif"/>
        <i/>
        <color rgb="FFD9D9D9"/>
      </rPr>
      <t xml:space="preserve">36 </t>
    </r>
    <r>
      <rPr>
        <rFont val="Arial, sans-serif"/>
        <i/>
        <color rgb="FFD9D9D9"/>
        <sz val="7.0"/>
      </rPr>
      <t>Riders</t>
    </r>
  </si>
  <si>
    <t>&gt; 75%</t>
  </si>
  <si>
    <t>Roshan Manuel</t>
  </si>
  <si>
    <t>Surendar P Velu</t>
  </si>
  <si>
    <t>Sanjeev Kumar</t>
  </si>
  <si>
    <t>Thirumalai</t>
  </si>
  <si>
    <t>Sandeep Sahoo</t>
  </si>
  <si>
    <t>Points To Qualify</t>
  </si>
  <si>
    <t>Shreyas BM</t>
  </si>
  <si>
    <t>Long Ride</t>
  </si>
  <si>
    <t>Sukesh TM</t>
  </si>
  <si>
    <t>Ride</t>
  </si>
  <si>
    <t>Manjushree</t>
  </si>
  <si>
    <r>
      <rPr>
        <rFont val="Arial, sans-serif"/>
        <color rgb="FF00B0F0"/>
      </rPr>
      <t>-</t>
    </r>
    <r>
      <rPr>
        <rFont val="Arial, sans-serif"/>
        <color rgb="FF000000"/>
      </rPr>
      <t xml:space="preserve"> + 2.5</t>
    </r>
  </si>
  <si>
    <t>Ride Organiser</t>
  </si>
  <si>
    <t>Sharon Padmanabhan</t>
  </si>
  <si>
    <r>
      <rPr>
        <rFont val="Arial, sans-serif"/>
        <color rgb="FF4EA72E"/>
      </rPr>
      <t>-</t>
    </r>
    <r>
      <rPr>
        <rFont val="Arial, sans-serif"/>
        <color rgb="FF000000"/>
      </rPr>
      <t xml:space="preserve"> + 2.5</t>
    </r>
  </si>
  <si>
    <t>Sweep</t>
  </si>
  <si>
    <t>Sapna</t>
  </si>
  <si>
    <t>Abhijitt Murugan</t>
  </si>
  <si>
    <t>Current Active Member</t>
  </si>
  <si>
    <t>Rajnish Jaiswal</t>
  </si>
  <si>
    <t>Old Active Member</t>
  </si>
  <si>
    <t>Adith Kumar</t>
  </si>
  <si>
    <t>Binoy George</t>
  </si>
  <si>
    <t>PRASHANTH B K</t>
  </si>
  <si>
    <t>Sangeeta Tiwari</t>
  </si>
  <si>
    <t>Pranav Himanshu</t>
  </si>
  <si>
    <t>Shankar VK</t>
  </si>
  <si>
    <t>Arjun S</t>
  </si>
  <si>
    <t>Jay</t>
  </si>
  <si>
    <t>Harish Mysuru</t>
  </si>
  <si>
    <t>Sandeep Mathi</t>
  </si>
  <si>
    <t>Anantha Nag M S</t>
  </si>
  <si>
    <t>Harish C S</t>
  </si>
  <si>
    <t>Devaraju S</t>
  </si>
  <si>
    <t>Dharniraj Sathyanarayana</t>
  </si>
  <si>
    <t>Dr. Raghunath H</t>
  </si>
  <si>
    <t>Satish Anchi</t>
  </si>
  <si>
    <t>Gayathri Balaji</t>
  </si>
  <si>
    <t>Abhishek Sen</t>
  </si>
  <si>
    <t>Manjunatha</t>
  </si>
  <si>
    <t>Ramakashi T S</t>
  </si>
  <si>
    <t>Umakanth</t>
  </si>
  <si>
    <t>Nagarjun</t>
  </si>
  <si>
    <t>Vishwanath P</t>
  </si>
  <si>
    <t>Imran</t>
  </si>
  <si>
    <t>Aditya ZUTSHI</t>
  </si>
  <si>
    <t>Kiran Kumar</t>
  </si>
  <si>
    <t>Vinod Kiran Kare</t>
  </si>
  <si>
    <t>Naveen Kumar S</t>
  </si>
  <si>
    <t>Krishnaprasad Gaonkar</t>
  </si>
  <si>
    <t>Karthik JP</t>
  </si>
  <si>
    <t>Saswata Mohanty</t>
  </si>
  <si>
    <t>Vasudev B S</t>
  </si>
  <si>
    <t>Brahmanandan K</t>
  </si>
  <si>
    <t>SANJAY SONU</t>
  </si>
  <si>
    <t>Umar Faruque</t>
  </si>
  <si>
    <t>Honnesh P</t>
  </si>
  <si>
    <t>Shivam</t>
  </si>
  <si>
    <t>Mandeep Singh</t>
  </si>
  <si>
    <t>Niraj Kanti Samal</t>
  </si>
  <si>
    <t>Vignesh</t>
  </si>
  <si>
    <t>Nidhi Dalal</t>
  </si>
  <si>
    <t>Om Vigneshwaran R</t>
  </si>
  <si>
    <t>Abhishek S</t>
  </si>
  <si>
    <t>Aren Sukesh</t>
  </si>
  <si>
    <t>Manjula Sukesh</t>
  </si>
  <si>
    <t>Vivek PS</t>
  </si>
  <si>
    <t>Venu Ryan</t>
  </si>
  <si>
    <t>Karthik V H</t>
  </si>
  <si>
    <t>Mahesh Venkataswamy</t>
  </si>
  <si>
    <t>Bharath Ramaiah</t>
  </si>
  <si>
    <t>Reshma Manuel</t>
  </si>
  <si>
    <t>Shivasankar G</t>
  </si>
  <si>
    <t>Amruth</t>
  </si>
  <si>
    <t>Uttam</t>
  </si>
  <si>
    <t>Sanjay Ganesh Jambagi</t>
  </si>
  <si>
    <t>Manoj Kumar Bhonsle</t>
  </si>
  <si>
    <t>Nirmal Kumar</t>
  </si>
  <si>
    <t>Hemanth Satyanarayana</t>
  </si>
  <si>
    <t>Akshay Sharma</t>
  </si>
  <si>
    <t>Akash Kundapur</t>
  </si>
  <si>
    <t>Navratan Verma</t>
  </si>
  <si>
    <t>Anand Deenadayalu</t>
  </si>
  <si>
    <t>Hemanth Krishnamurthy</t>
  </si>
  <si>
    <t>Thanigaipathi Munirathnam</t>
  </si>
  <si>
    <t>Abhay MS</t>
  </si>
  <si>
    <t>Tejas</t>
  </si>
  <si>
    <t>Rohith channalli</t>
  </si>
  <si>
    <t>Vinay Devaraj</t>
  </si>
  <si>
    <t>Sreenivas Murthy</t>
  </si>
  <si>
    <t>Ram Karan</t>
  </si>
  <si>
    <t>Pratik Parashar</t>
  </si>
  <si>
    <t>Pratious Rekhansh</t>
  </si>
  <si>
    <t>Srinagesh Pandala</t>
  </si>
  <si>
    <t>Garvit Kumar Rai</t>
  </si>
  <si>
    <t>Sudhansh Sharma</t>
  </si>
  <si>
    <t>Vrisan Jaiswal</t>
  </si>
  <si>
    <t>Shalini Jaiswal</t>
  </si>
  <si>
    <t xml:space="preserve">Aditi Gaonkar </t>
  </si>
  <si>
    <t>Sudhakar R</t>
  </si>
  <si>
    <t>Arvind v</t>
  </si>
  <si>
    <t>Subodh Bhat</t>
  </si>
  <si>
    <t xml:space="preserve">Karthik </t>
  </si>
  <si>
    <t>Vijay Natarajan</t>
  </si>
  <si>
    <t xml:space="preserve">Srinivas prasad </t>
  </si>
  <si>
    <t>Avinash shetty</t>
  </si>
  <si>
    <t>Sahil Rais</t>
  </si>
  <si>
    <t>DEEPAK KANAKARAJU</t>
  </si>
  <si>
    <t>Sharath C S</t>
  </si>
  <si>
    <t xml:space="preserve">Shyam </t>
  </si>
  <si>
    <t>Kiran Kumar B</t>
  </si>
  <si>
    <t>Asha L</t>
  </si>
  <si>
    <t xml:space="preserve">Sampath Kannanth </t>
  </si>
  <si>
    <t>VinayKumar</t>
  </si>
  <si>
    <t>Neena VinayKumar</t>
  </si>
  <si>
    <t>Sai Kiran</t>
  </si>
  <si>
    <t>Swarbendu Dasarak SD</t>
  </si>
  <si>
    <t>Jeyadev N</t>
  </si>
  <si>
    <t xml:space="preserve">Varusa Routhar </t>
  </si>
  <si>
    <t>Dipankar Nath</t>
  </si>
  <si>
    <t>Abhishek R</t>
  </si>
  <si>
    <t>Chandan Gowda</t>
  </si>
  <si>
    <t>Ugender Sathyendranath</t>
  </si>
  <si>
    <t>Anupam Chand</t>
  </si>
  <si>
    <t>Naman Saraf</t>
  </si>
  <si>
    <t>Vishal Srivastava</t>
  </si>
  <si>
    <t>Poonam Navale</t>
  </si>
  <si>
    <t>Ashwin kumar</t>
  </si>
  <si>
    <t>Anand HS</t>
  </si>
  <si>
    <t>Ramaprasad</t>
  </si>
  <si>
    <t>Yogita ashwin</t>
  </si>
  <si>
    <t>Sushma B</t>
  </si>
  <si>
    <t>Anusha</t>
  </si>
  <si>
    <t>Rakshith k</t>
  </si>
  <si>
    <t>Shubham Biswas</t>
  </si>
  <si>
    <t>Sachin K G</t>
  </si>
  <si>
    <t>Kiran Dikshit</t>
  </si>
  <si>
    <t>yetika vats</t>
  </si>
  <si>
    <t>Abhishek Chatterjee</t>
  </si>
  <si>
    <t>Esha Sunil Bharadwaj</t>
  </si>
  <si>
    <r>
      <rPr>
        <rFont val="Arial, sans-serif"/>
        <i/>
        <color rgb="FFCCCCCC"/>
      </rPr>
      <t xml:space="preserve">36 </t>
    </r>
    <r>
      <rPr>
        <rFont val="Arial, sans-serif"/>
        <i/>
        <color rgb="FFCCCCCC"/>
        <sz val="7.0"/>
      </rPr>
      <t>Riders</t>
    </r>
  </si>
  <si>
    <r>
      <rPr>
        <rFont val="Arial, sans-serif"/>
        <color rgb="FF00B0F0"/>
      </rPr>
      <t>-</t>
    </r>
    <r>
      <rPr>
        <rFont val="Arial, sans-serif"/>
        <color rgb="FF000000"/>
      </rPr>
      <t xml:space="preserve"> + 2.5</t>
    </r>
  </si>
  <si>
    <r>
      <rPr>
        <rFont val="Arial, sans-serif"/>
        <color rgb="FF4EA72E"/>
      </rPr>
      <t>-</t>
    </r>
    <r>
      <rPr>
        <rFont val="Arial, sans-serif"/>
        <color rgb="FF000000"/>
      </rPr>
      <t xml:space="preserve"> + 2.5</t>
    </r>
  </si>
  <si>
    <t>Kiran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</si>
</sst>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rgb="FF000000"/>
      <name val="Arial"/>
    </font>
    <font>
      <b/>
      <color rgb="FFD9D9D9"/>
      <name val="Arial"/>
    </font>
    <font/>
    <font>
      <i/>
      <color rgb="FFD9D9D9"/>
      <name val="Arial"/>
    </font>
    <font>
      <i/>
      <color rgb="FF000000"/>
      <name val="Arial"/>
    </font>
    <font>
      <b/>
      <i/>
      <color rgb="FF000000"/>
      <name val="Arial"/>
    </font>
    <font>
      <color theme="1"/>
      <name val="Arial"/>
      <scheme val="minor"/>
    </font>
    <font>
      <color rgb="FF000000"/>
      <name val="Arial"/>
    </font>
    <font>
      <color rgb="FFD9D9D9"/>
      <name val="Arial"/>
    </font>
    <font>
      <b/>
      <color rgb="FFFF0000"/>
      <name val="Arial"/>
    </font>
    <font>
      <b/>
      <i/>
      <color rgb="FFD9D9D9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D9D9D9"/>
      <name val="Arial"/>
      <scheme val="minor"/>
    </font>
    <font>
      <b/>
      <color rgb="FFCCCCCC"/>
      <name val="Arial"/>
    </font>
    <font>
      <i/>
      <color rgb="FFCCCCCC"/>
      <name val="Arial"/>
    </font>
    <font>
      <color rgb="FFCCCCCC"/>
      <name val="Arial"/>
    </font>
    <font>
      <b/>
      <i/>
      <color rgb="FFCCCCCC"/>
      <name val="Arial"/>
    </font>
    <font>
      <color rgb="FFCCCCCC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4EA72E"/>
        <bgColor rgb="FF4EA72E"/>
      </patternFill>
    </fill>
    <fill>
      <patternFill patternType="solid">
        <fgColor rgb="FFE97132"/>
        <bgColor rgb="FFE97132"/>
      </patternFill>
    </fill>
    <fill>
      <patternFill patternType="solid">
        <fgColor rgb="FFF8F9FA"/>
        <bgColor rgb="FFF8F9FA"/>
      </patternFill>
    </fill>
  </fills>
  <borders count="35">
    <border/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right style="thin">
        <color rgb="FF000000"/>
      </right>
      <bottom style="medium">
        <color rgb="FFFF0000"/>
      </bottom>
    </border>
    <border>
      <right style="thin">
        <color rgb="FF000000"/>
      </right>
      <bottom style="medium">
        <color rgb="FFEA4335"/>
      </bottom>
    </border>
    <border>
      <bottom style="medium">
        <color rgb="FFEA433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FF9900"/>
      </bottom>
    </border>
    <border>
      <right style="thin">
        <color rgb="FF000000"/>
      </right>
      <bottom style="medium">
        <color rgb="FFFF99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bottom style="medium">
        <color rgb="FFFFC000"/>
      </bottom>
    </border>
    <border>
      <right style="thin">
        <color rgb="FF000000"/>
      </right>
      <bottom style="medium">
        <color rgb="FFFFC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A4335"/>
      </bottom>
    </border>
    <border>
      <left style="thin">
        <color rgb="FF000000"/>
      </left>
      <top style="thin">
        <color rgb="FF000000"/>
      </top>
      <bottom style="medium">
        <color rgb="FFEA4335"/>
      </bottom>
    </border>
    <border>
      <bottom style="medium">
        <color rgb="FFFF0000"/>
      </bottom>
    </border>
    <border>
      <bottom style="medium">
        <color rgb="FFFF9900"/>
      </bottom>
    </border>
    <border>
      <left style="thin">
        <color rgb="FF000000"/>
      </left>
      <right style="thin">
        <color rgb="FF000000"/>
      </right>
      <bottom style="medium">
        <color rgb="FFEA4335"/>
      </bottom>
    </border>
    <border>
      <left style="thin">
        <color rgb="FF000000"/>
      </left>
      <right style="thin">
        <color rgb="FF000000"/>
      </right>
      <bottom style="medium">
        <color rgb="FFFBBC04"/>
      </bottom>
    </border>
    <border>
      <right style="thin">
        <color rgb="FF000000"/>
      </right>
      <bottom style="medium">
        <color rgb="FFFBBC04"/>
      </bottom>
    </border>
    <border>
      <left style="thin">
        <color rgb="FF000000"/>
      </left>
      <bottom style="medium">
        <color rgb="FFEA4335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FBBC04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EA4335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0"/>
    </xf>
    <xf borderId="3" fillId="0" fontId="3" numFmtId="0" xfId="0" applyBorder="1" applyFont="1"/>
    <xf borderId="3" fillId="0" fontId="4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3" fillId="2" fontId="5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center" shrinkToFit="0" wrapText="0"/>
    </xf>
    <xf borderId="3" fillId="0" fontId="7" numFmtId="0" xfId="0" applyBorder="1" applyFont="1"/>
    <xf borderId="5" fillId="0" fontId="8" numFmtId="0" xfId="0" applyAlignment="1" applyBorder="1" applyFont="1">
      <alignment horizontal="center" readingOrder="0" shrinkToFit="0" wrapText="0"/>
    </xf>
    <xf borderId="6" fillId="3" fontId="1" numFmtId="0" xfId="0" applyAlignment="1" applyBorder="1" applyFill="1" applyFont="1">
      <alignment readingOrder="0" shrinkToFit="0" vertical="bottom" wrapText="0"/>
    </xf>
    <xf borderId="6" fillId="4" fontId="9" numFmtId="0" xfId="0" applyAlignment="1" applyBorder="1" applyFill="1" applyFont="1">
      <alignment horizontal="center" readingOrder="0" shrinkToFit="0" wrapText="0"/>
    </xf>
    <xf borderId="6" fillId="4" fontId="2" numFmtId="0" xfId="0" applyAlignment="1" applyBorder="1" applyFont="1">
      <alignment horizontal="center" readingOrder="0" shrinkToFit="0" wrapText="0"/>
    </xf>
    <xf borderId="6" fillId="0" fontId="9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shrinkToFit="0" wrapText="0"/>
    </xf>
    <xf borderId="6" fillId="4" fontId="8" numFmtId="0" xfId="0" applyAlignment="1" applyBorder="1" applyFont="1">
      <alignment horizontal="center" readingOrder="0" shrinkToFit="0" wrapText="0"/>
    </xf>
    <xf borderId="6" fillId="0" fontId="8" numFmtId="0" xfId="0" applyAlignment="1" applyBorder="1" applyFont="1">
      <alignment horizontal="center" readingOrder="0" shrinkToFit="0" wrapText="0"/>
    </xf>
    <xf borderId="7" fillId="0" fontId="8" numFmtId="0" xfId="0" applyAlignment="1" applyBorder="1" applyFont="1">
      <alignment horizontal="center" readingOrder="0" shrinkToFit="0" wrapText="0"/>
    </xf>
    <xf borderId="7" fillId="4" fontId="8" numFmtId="0" xfId="0" applyAlignment="1" applyBorder="1" applyFont="1">
      <alignment horizontal="center" readingOrder="0" shrinkToFit="0" wrapText="0"/>
    </xf>
    <xf borderId="8" fillId="0" fontId="8" numFmtId="0" xfId="0" applyAlignment="1" applyBorder="1" applyFont="1">
      <alignment horizontal="center" readingOrder="0" shrinkToFit="0" wrapText="0"/>
    </xf>
    <xf borderId="9" fillId="0" fontId="1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readingOrder="0" shrinkToFit="0" wrapText="0"/>
    </xf>
    <xf borderId="11" fillId="3" fontId="10" numFmtId="4" xfId="0" applyAlignment="1" applyBorder="1" applyFont="1" applyNumberFormat="1">
      <alignment horizontal="center" readingOrder="0" shrinkToFit="0" wrapText="0"/>
    </xf>
    <xf borderId="2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12" fillId="0" fontId="8" numFmtId="0" xfId="0" applyAlignment="1" applyBorder="1" applyFont="1">
      <alignment horizontal="center" readingOrder="0" shrinkToFit="0" wrapText="0"/>
    </xf>
    <xf borderId="13" fillId="0" fontId="8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horizontal="center" shrinkToFit="0" wrapText="0"/>
    </xf>
    <xf borderId="9" fillId="0" fontId="9" numFmtId="0" xfId="0" applyAlignment="1" applyBorder="1" applyFont="1">
      <alignment horizontal="center" shrinkToFit="0" wrapText="0"/>
    </xf>
    <xf borderId="14" fillId="0" fontId="9" numFmtId="0" xfId="0" applyAlignment="1" applyBorder="1" applyFon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15" fillId="0" fontId="8" numFmtId="0" xfId="0" applyAlignment="1" applyBorder="1" applyFont="1">
      <alignment horizontal="center" readingOrder="0" shrinkToFit="0" wrapText="0"/>
    </xf>
    <xf borderId="15" fillId="2" fontId="8" numFmtId="0" xfId="0" applyAlignment="1" applyBorder="1" applyFont="1">
      <alignment horizontal="center" readingOrder="0" shrinkToFit="0" wrapText="0"/>
    </xf>
    <xf borderId="9" fillId="0" fontId="8" numFmtId="0" xfId="0" applyAlignment="1" applyBorder="1" applyFont="1">
      <alignment horizontal="center" readingOrder="0" shrinkToFit="0" wrapText="0"/>
    </xf>
    <xf borderId="14" fillId="0" fontId="8" numFmtId="0" xfId="0" applyAlignment="1" applyBorder="1" applyFont="1">
      <alignment horizontal="center" readingOrder="0" shrinkToFit="0" wrapText="0"/>
    </xf>
    <xf borderId="10" fillId="0" fontId="8" numFmtId="0" xfId="0" applyAlignment="1" applyBorder="1" applyFont="1">
      <alignment horizontal="center" readingOrder="0" shrinkToFit="0" wrapText="0"/>
    </xf>
    <xf borderId="15" fillId="0" fontId="1" numFmtId="0" xfId="0" applyAlignment="1" applyBorder="1" applyFont="1">
      <alignment horizontal="center" readingOrder="0" shrinkToFit="0" wrapText="0"/>
    </xf>
    <xf borderId="16" fillId="0" fontId="1" numFmtId="0" xfId="0" applyAlignment="1" applyBorder="1" applyFont="1">
      <alignment horizontal="center" readingOrder="0" shrinkToFit="0" wrapText="0"/>
    </xf>
    <xf borderId="11" fillId="5" fontId="12" numFmtId="4" xfId="0" applyAlignment="1" applyBorder="1" applyFill="1" applyFont="1" applyNumberFormat="1">
      <alignment horizontal="center" readingOrder="0" shrinkToFit="0" wrapText="0"/>
    </xf>
    <xf borderId="6" fillId="0" fontId="8" numFmtId="0" xfId="0" applyAlignment="1" applyBorder="1" applyFont="1">
      <alignment readingOrder="0" shrinkToFit="0" vertical="bottom" wrapText="0"/>
    </xf>
    <xf borderId="6" fillId="6" fontId="9" numFmtId="0" xfId="0" applyAlignment="1" applyBorder="1" applyFill="1" applyFont="1">
      <alignment horizontal="center" readingOrder="0" shrinkToFit="0" wrapText="0"/>
    </xf>
    <xf borderId="17" fillId="0" fontId="9" numFmtId="0" xfId="0" applyAlignment="1" applyBorder="1" applyFont="1">
      <alignment horizontal="center" shrinkToFit="0" wrapText="0"/>
    </xf>
    <xf borderId="16" fillId="0" fontId="8" numFmtId="0" xfId="0" applyAlignment="1" applyBorder="1" applyFont="1">
      <alignment horizontal="center" readingOrder="0" shrinkToFit="0" wrapText="0"/>
    </xf>
    <xf borderId="18" fillId="0" fontId="8" numFmtId="0" xfId="0" applyAlignment="1" applyBorder="1" applyFont="1">
      <alignment horizontal="center" readingOrder="0" shrinkToFit="0" wrapText="0"/>
    </xf>
    <xf borderId="19" fillId="0" fontId="8" numFmtId="0" xfId="0" applyAlignment="1" applyBorder="1" applyFont="1">
      <alignment readingOrder="0" shrinkToFit="0" vertical="bottom" wrapText="0"/>
    </xf>
    <xf borderId="14" fillId="0" fontId="9" numFmtId="0" xfId="0" applyAlignment="1" applyBorder="1" applyFont="1">
      <alignment horizontal="center" readingOrder="0" shrinkToFit="0" wrapText="0"/>
    </xf>
    <xf borderId="14" fillId="0" fontId="9" numFmtId="0" xfId="0" applyAlignment="1" applyBorder="1" applyFont="1">
      <alignment horizontal="center" shrinkToFit="0" wrapText="0"/>
    </xf>
    <xf borderId="14" fillId="6" fontId="9" numFmtId="0" xfId="0" applyAlignment="1" applyBorder="1" applyFont="1">
      <alignment horizontal="center" readingOrder="0" shrinkToFit="0" wrapText="0"/>
    </xf>
    <xf borderId="5" fillId="4" fontId="9" numFmtId="0" xfId="0" applyAlignment="1" applyBorder="1" applyFont="1">
      <alignment horizontal="center" readingOrder="0" shrinkToFit="0" wrapText="0"/>
    </xf>
    <xf borderId="17" fillId="0" fontId="8" numFmtId="0" xfId="0" applyAlignment="1" applyBorder="1" applyFont="1">
      <alignment horizontal="center" shrinkToFit="0" wrapText="0"/>
    </xf>
    <xf borderId="15" fillId="0" fontId="8" numFmtId="0" xfId="0" applyAlignment="1" applyBorder="1" applyFont="1">
      <alignment horizontal="center" readingOrder="0" shrinkToFit="0" wrapText="1"/>
    </xf>
    <xf borderId="20" fillId="3" fontId="10" numFmtId="4" xfId="0" applyAlignment="1" applyBorder="1" applyFont="1" applyNumberForma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wrapText="0"/>
    </xf>
    <xf borderId="17" fillId="2" fontId="8" numFmtId="0" xfId="0" applyAlignment="1" applyBorder="1" applyFont="1">
      <alignment horizontal="center" readingOrder="0" shrinkToFit="0" wrapText="0"/>
    </xf>
    <xf borderId="6" fillId="6" fontId="8" numFmtId="0" xfId="0" applyAlignment="1" applyBorder="1" applyFont="1">
      <alignment horizontal="center" readingOrder="0" shrinkToFit="0" wrapText="0"/>
    </xf>
    <xf borderId="21" fillId="0" fontId="8" numFmtId="0" xfId="0" applyAlignment="1" applyBorder="1" applyFont="1">
      <alignment horizontal="center" readingOrder="0" shrinkToFit="0" wrapText="0"/>
    </xf>
    <xf borderId="7" fillId="6" fontId="8" numFmtId="0" xfId="0" applyAlignment="1" applyBorder="1" applyFont="1">
      <alignment horizontal="center" readingOrder="0" shrinkToFit="0" wrapText="0"/>
    </xf>
    <xf borderId="8" fillId="4" fontId="8" numFmtId="0" xfId="0" applyAlignment="1" applyBorder="1" applyFont="1">
      <alignment horizontal="center" readingOrder="0" shrinkToFit="0" wrapText="0"/>
    </xf>
    <xf borderId="0" fillId="7" fontId="8" numFmtId="0" xfId="0" applyAlignment="1" applyFill="1" applyFont="1">
      <alignment horizontal="center" readingOrder="0" shrinkToFit="0" wrapText="0"/>
    </xf>
    <xf borderId="14" fillId="0" fontId="8" numFmtId="0" xfId="0" applyAlignment="1" applyBorder="1" applyFont="1">
      <alignment readingOrder="0" shrinkToFit="0" vertical="bottom" wrapText="0"/>
    </xf>
    <xf borderId="0" fillId="4" fontId="8" numFmtId="0" xfId="0" applyAlignment="1" applyFont="1">
      <alignment horizontal="center" readingOrder="0" shrinkToFit="0" wrapText="0"/>
    </xf>
    <xf borderId="0" fillId="6" fontId="8" numFmtId="0" xfId="0" applyAlignment="1" applyFont="1">
      <alignment horizontal="center" readingOrder="0" shrinkToFit="0" wrapText="0"/>
    </xf>
    <xf borderId="6" fillId="0" fontId="9" numFmtId="0" xfId="0" applyAlignment="1" applyBorder="1" applyFont="1">
      <alignment horizontal="center" shrinkToFit="0" wrapText="0"/>
    </xf>
    <xf borderId="22" fillId="0" fontId="8" numFmtId="0" xfId="0" applyAlignment="1" applyBorder="1" applyFont="1">
      <alignment horizontal="center" readingOrder="0" shrinkToFit="0" wrapText="0"/>
    </xf>
    <xf borderId="9" fillId="4" fontId="8" numFmtId="0" xfId="0" applyAlignment="1" applyBorder="1" applyFont="1">
      <alignment horizontal="center" readingOrder="0" shrinkToFit="0" wrapText="0"/>
    </xf>
    <xf borderId="23" fillId="0" fontId="8" numFmtId="0" xfId="0" applyAlignment="1" applyBorder="1" applyFont="1">
      <alignment readingOrder="0" shrinkToFit="0" vertical="bottom" wrapText="0"/>
    </xf>
    <xf borderId="23" fillId="0" fontId="8" numFmtId="0" xfId="0" applyAlignment="1" applyBorder="1" applyFont="1">
      <alignment shrinkToFit="0" vertical="bottom" wrapText="0"/>
    </xf>
    <xf borderId="24" fillId="0" fontId="8" numFmtId="0" xfId="0" applyAlignment="1" applyBorder="1" applyFont="1">
      <alignment readingOrder="0" shrinkToFit="0" vertical="bottom" wrapText="0"/>
    </xf>
    <xf borderId="24" fillId="0" fontId="8" numFmtId="0" xfId="0" applyAlignment="1" applyBorder="1" applyFont="1">
      <alignment shrinkToFit="0" vertical="bottom" wrapText="0"/>
    </xf>
    <xf borderId="7" fillId="0" fontId="9" numFmtId="0" xfId="0" applyAlignment="1" applyBorder="1" applyFont="1">
      <alignment horizontal="center" readingOrder="0" shrinkToFit="0" wrapText="0"/>
    </xf>
    <xf borderId="7" fillId="0" fontId="9" numFmtId="0" xfId="0" applyAlignment="1" applyBorder="1" applyFont="1">
      <alignment horizontal="center" shrinkToFit="0" wrapText="0"/>
    </xf>
    <xf borderId="25" fillId="0" fontId="9" numFmtId="0" xfId="0" applyAlignment="1" applyBorder="1" applyFont="1">
      <alignment horizontal="center" shrinkToFit="0" wrapText="0"/>
    </xf>
    <xf borderId="7" fillId="0" fontId="9" numFmtId="0" xfId="0" applyAlignment="1" applyBorder="1" applyFont="1">
      <alignment horizontal="center" shrinkToFit="0" wrapText="0"/>
    </xf>
    <xf borderId="26" fillId="0" fontId="8" numFmtId="0" xfId="0" applyAlignment="1" applyBorder="1" applyFont="1">
      <alignment horizontal="center" readingOrder="0" shrinkToFit="0" wrapText="0"/>
    </xf>
    <xf borderId="27" fillId="0" fontId="8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center" shrinkToFit="0" wrapText="0"/>
    </xf>
    <xf borderId="17" fillId="4" fontId="8" numFmtId="0" xfId="0" applyAlignment="1" applyBorder="1" applyFont="1">
      <alignment horizontal="center" readingOrder="0" shrinkToFit="0" wrapText="0"/>
    </xf>
    <xf borderId="8" fillId="6" fontId="8" numFmtId="0" xfId="0" applyAlignment="1" applyBorder="1" applyFont="1">
      <alignment horizontal="center" readingOrder="0" shrinkToFit="0" wrapText="0"/>
    </xf>
    <xf borderId="5" fillId="6" fontId="9" numFmtId="0" xfId="0" applyAlignment="1" applyBorder="1" applyFont="1">
      <alignment horizontal="center" readingOrder="0" shrinkToFit="0" wrapText="0"/>
    </xf>
    <xf borderId="25" fillId="0" fontId="8" numFmtId="0" xfId="0" applyAlignment="1" applyBorder="1" applyFont="1">
      <alignment horizontal="center" readingOrder="0" shrinkToFit="0" wrapText="0"/>
    </xf>
    <xf borderId="28" fillId="0" fontId="8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0" fillId="0" fontId="13" numFmtId="0" xfId="0" applyFont="1"/>
    <xf borderId="29" fillId="0" fontId="8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center" readingOrder="0" shrinkToFit="0" wrapText="0"/>
    </xf>
    <xf borderId="30" fillId="0" fontId="8" numFmtId="0" xfId="0" applyAlignment="1" applyBorder="1" applyFont="1">
      <alignment readingOrder="0" shrinkToFit="0" vertical="bottom" wrapText="0"/>
    </xf>
    <xf borderId="31" fillId="6" fontId="8" numFmtId="0" xfId="0" applyAlignment="1" applyBorder="1" applyFont="1">
      <alignment horizontal="center" readingOrder="0" shrinkToFit="0" wrapText="0"/>
    </xf>
    <xf borderId="14" fillId="0" fontId="5" numFmtId="0" xfId="0" applyAlignment="1" applyBorder="1" applyFont="1">
      <alignment readingOrder="0" shrinkToFit="0" vertical="bottom" wrapText="0"/>
    </xf>
    <xf borderId="14" fillId="0" fontId="4" numFmtId="0" xfId="0" applyAlignment="1" applyBorder="1" applyFont="1">
      <alignment horizontal="center" readingOrder="0" shrinkToFit="0" wrapText="0"/>
    </xf>
    <xf borderId="14" fillId="0" fontId="4" numFmtId="0" xfId="0" applyAlignment="1" applyBorder="1" applyFont="1">
      <alignment horizontal="center" shrinkToFit="0" wrapText="0"/>
    </xf>
    <xf borderId="14" fillId="2" fontId="8" numFmtId="0" xfId="0" applyAlignment="1" applyBorder="1" applyFont="1">
      <alignment horizontal="center" readingOrder="0" shrinkToFit="0" wrapText="0"/>
    </xf>
    <xf borderId="20" fillId="0" fontId="8" numFmtId="0" xfId="0" applyAlignment="1" applyBorder="1" applyFont="1">
      <alignment readingOrder="0" shrinkToFit="0" vertical="bottom" wrapText="0"/>
    </xf>
    <xf borderId="20" fillId="0" fontId="9" numFmtId="0" xfId="0" applyAlignment="1" applyBorder="1" applyFont="1">
      <alignment horizontal="center" shrinkToFit="0" wrapText="0"/>
    </xf>
    <xf borderId="20" fillId="0" fontId="9" numFmtId="0" xfId="0" applyAlignment="1" applyBorder="1" applyFont="1">
      <alignment horizontal="center" readingOrder="0" shrinkToFit="0" wrapText="0"/>
    </xf>
    <xf borderId="14" fillId="0" fontId="2" numFmtId="0" xfId="0" applyAlignment="1" applyBorder="1" applyFont="1">
      <alignment horizontal="center" shrinkToFit="0" wrapText="0"/>
    </xf>
    <xf borderId="14" fillId="0" fontId="8" numFmtId="0" xfId="0" applyAlignment="1" applyBorder="1" applyFont="1">
      <alignment horizontal="center" shrinkToFit="0" wrapText="0"/>
    </xf>
    <xf borderId="15" fillId="8" fontId="14" numFmtId="0" xfId="0" applyAlignment="1" applyBorder="1" applyFill="1" applyFont="1">
      <alignment vertical="bottom"/>
    </xf>
    <xf borderId="15" fillId="2" fontId="14" numFmtId="0" xfId="0" applyAlignment="1" applyBorder="1" applyFont="1">
      <alignment vertical="bottom"/>
    </xf>
    <xf borderId="15" fillId="8" fontId="14" numFmtId="0" xfId="0" applyAlignment="1" applyBorder="1" applyFont="1">
      <alignment vertical="bottom"/>
    </xf>
    <xf borderId="15" fillId="8" fontId="14" numFmtId="0" xfId="0" applyAlignment="1" applyBorder="1" applyFont="1">
      <alignment readingOrder="0" vertical="bottom"/>
    </xf>
    <xf borderId="15" fillId="0" fontId="15" numFmtId="0" xfId="0" applyBorder="1" applyFont="1"/>
    <xf borderId="15" fillId="0" fontId="7" numFmtId="0" xfId="0" applyBorder="1" applyFont="1"/>
    <xf borderId="15" fillId="2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/>
    </xf>
    <xf borderId="15" fillId="2" fontId="7" numFmtId="0" xfId="0" applyAlignment="1" applyBorder="1" applyFont="1">
      <alignment horizontal="center"/>
    </xf>
    <xf borderId="15" fillId="0" fontId="7" numFmtId="0" xfId="0" applyAlignment="1" applyBorder="1" applyFont="1">
      <alignment readingOrder="0"/>
    </xf>
    <xf borderId="15" fillId="0" fontId="7" numFmtId="0" xfId="0" applyAlignment="1" applyBorder="1" applyFont="1">
      <alignment horizontal="center" readingOrder="0"/>
    </xf>
    <xf borderId="16" fillId="0" fontId="7" numFmtId="0" xfId="0" applyBorder="1" applyFont="1"/>
    <xf borderId="32" fillId="0" fontId="7" numFmtId="0" xfId="0" applyBorder="1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0" fillId="0" fontId="15" numFmtId="0" xfId="0" applyFont="1"/>
    <xf borderId="0" fillId="2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0" fontId="7" numFmtId="0" xfId="0" applyBorder="1" applyFont="1"/>
    <xf borderId="0" fillId="0" fontId="1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wrapText="1"/>
    </xf>
    <xf borderId="3" fillId="0" fontId="17" numFmtId="0" xfId="0" applyAlignment="1" applyBorder="1" applyFont="1">
      <alignment horizontal="center" readingOrder="0" shrinkToFit="0" wrapText="0"/>
    </xf>
    <xf borderId="33" fillId="0" fontId="6" numFmtId="0" xfId="0" applyAlignment="1" applyBorder="1" applyFont="1">
      <alignment horizontal="center" readingOrder="0" shrinkToFit="0" wrapText="0"/>
    </xf>
    <xf borderId="6" fillId="4" fontId="18" numFmtId="0" xfId="0" applyAlignment="1" applyBorder="1" applyFont="1">
      <alignment horizontal="center" readingOrder="0" shrinkToFit="0" wrapText="0"/>
    </xf>
    <xf borderId="6" fillId="4" fontId="16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readingOrder="0" shrinkToFit="0" wrapText="0"/>
    </xf>
    <xf borderId="5" fillId="0" fontId="18" numFmtId="0" xfId="0" applyAlignment="1" applyBorder="1" applyFont="1">
      <alignment horizontal="center" readingOrder="0" shrinkToFit="0" wrapText="0"/>
    </xf>
    <xf borderId="29" fillId="3" fontId="10" numFmtId="4" xfId="0" applyAlignment="1" applyBorder="1" applyFont="1" applyNumberFormat="1">
      <alignment horizontal="center" readingOrder="0" shrinkToFit="0" wrapText="0"/>
    </xf>
    <xf borderId="15" fillId="0" fontId="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shrinkToFit="0" wrapText="0"/>
    </xf>
    <xf borderId="9" fillId="0" fontId="18" numFmtId="0" xfId="0" applyAlignment="1" applyBorder="1" applyFont="1">
      <alignment horizontal="center" shrinkToFit="0" wrapText="0"/>
    </xf>
    <xf borderId="14" fillId="0" fontId="18" numFmtId="0" xfId="0" applyAlignment="1" applyBorder="1" applyFont="1">
      <alignment horizontal="center" shrinkToFit="0" wrapText="0"/>
    </xf>
    <xf borderId="0" fillId="0" fontId="19" numFmtId="0" xfId="0" applyAlignment="1" applyFont="1">
      <alignment horizontal="center" shrinkToFit="0" wrapText="0"/>
    </xf>
    <xf borderId="29" fillId="5" fontId="12" numFmtId="4" xfId="0" applyAlignment="1" applyBorder="1" applyFont="1" applyNumberFormat="1">
      <alignment horizontal="center" readingOrder="0" shrinkToFit="0" wrapText="0"/>
    </xf>
    <xf borderId="6" fillId="0" fontId="1" numFmtId="0" xfId="0" applyAlignment="1" applyBorder="1" applyFont="1">
      <alignment readingOrder="0" shrinkToFit="0" vertical="bottom" wrapText="0"/>
    </xf>
    <xf borderId="6" fillId="6" fontId="18" numFmtId="0" xfId="0" applyAlignment="1" applyBorder="1" applyFont="1">
      <alignment horizontal="center" readingOrder="0" shrinkToFit="0" wrapText="0"/>
    </xf>
    <xf borderId="17" fillId="0" fontId="18" numFmtId="0" xfId="0" applyAlignment="1" applyBorder="1" applyFont="1">
      <alignment horizontal="center" shrinkToFit="0" wrapText="0"/>
    </xf>
    <xf borderId="14" fillId="0" fontId="18" numFmtId="0" xfId="0" applyAlignment="1" applyBorder="1" applyFont="1">
      <alignment horizontal="center" readingOrder="0" shrinkToFit="0" wrapText="0"/>
    </xf>
    <xf borderId="14" fillId="0" fontId="18" numFmtId="0" xfId="0" applyAlignment="1" applyBorder="1" applyFont="1">
      <alignment horizontal="center" shrinkToFit="0" wrapText="0"/>
    </xf>
    <xf borderId="14" fillId="6" fontId="18" numFmtId="0" xfId="0" applyAlignment="1" applyBorder="1" applyFont="1">
      <alignment horizontal="center" readingOrder="0" shrinkToFit="0" wrapText="0"/>
    </xf>
    <xf borderId="5" fillId="4" fontId="18" numFmtId="0" xfId="0" applyAlignment="1" applyBorder="1" applyFont="1">
      <alignment horizontal="center" readingOrder="0" shrinkToFit="0" wrapText="0"/>
    </xf>
    <xf borderId="9" fillId="0" fontId="18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shrinkToFit="0" wrapText="0"/>
    </xf>
    <xf borderId="7" fillId="0" fontId="18" numFmtId="0" xfId="0" applyAlignment="1" applyBorder="1" applyFont="1">
      <alignment horizontal="center" readingOrder="0" shrinkToFit="0" wrapText="0"/>
    </xf>
    <xf borderId="7" fillId="0" fontId="18" numFmtId="0" xfId="0" applyAlignment="1" applyBorder="1" applyFont="1">
      <alignment horizontal="center" shrinkToFit="0" wrapText="0"/>
    </xf>
    <xf borderId="25" fillId="0" fontId="18" numFmtId="0" xfId="0" applyAlignment="1" applyBorder="1" applyFont="1">
      <alignment horizontal="center" shrinkToFit="0" wrapText="0"/>
    </xf>
    <xf borderId="7" fillId="0" fontId="18" numFmtId="0" xfId="0" applyAlignment="1" applyBorder="1" applyFont="1">
      <alignment horizontal="center" shrinkToFit="0" wrapText="0"/>
    </xf>
    <xf borderId="5" fillId="0" fontId="18" numFmtId="0" xfId="0" applyAlignment="1" applyBorder="1" applyFont="1">
      <alignment horizontal="center" shrinkToFit="0" wrapText="0"/>
    </xf>
    <xf borderId="5" fillId="6" fontId="18" numFmtId="0" xfId="0" applyAlignment="1" applyBorder="1" applyFont="1">
      <alignment horizontal="center" readingOrder="0" shrinkToFit="0" wrapText="0"/>
    </xf>
    <xf borderId="34" fillId="0" fontId="8" numFmtId="0" xfId="0" applyAlignment="1" applyBorder="1" applyFont="1">
      <alignment readingOrder="0" shrinkToFit="0" vertical="bottom" wrapText="0"/>
    </xf>
    <xf borderId="14" fillId="0" fontId="17" numFmtId="0" xfId="0" applyAlignment="1" applyBorder="1" applyFont="1">
      <alignment horizontal="center" readingOrder="0" shrinkToFit="0" wrapText="0"/>
    </xf>
    <xf borderId="14" fillId="0" fontId="17" numFmtId="0" xfId="0" applyAlignment="1" applyBorder="1" applyFont="1">
      <alignment horizontal="center" shrinkToFit="0" wrapText="0"/>
    </xf>
    <xf borderId="7" fillId="0" fontId="8" numFmtId="0" xfId="0" applyAlignment="1" applyBorder="1" applyFont="1">
      <alignment readingOrder="0" shrinkToFit="0" vertical="bottom" wrapText="0"/>
    </xf>
    <xf borderId="20" fillId="0" fontId="18" numFmtId="0" xfId="0" applyAlignment="1" applyBorder="1" applyFont="1">
      <alignment horizontal="center" shrinkToFit="0" wrapText="0"/>
    </xf>
    <xf borderId="20" fillId="0" fontId="18" numFmtId="0" xfId="0" applyAlignment="1" applyBorder="1" applyFont="1">
      <alignment horizontal="center" readingOrder="0" shrinkToFit="0" wrapText="0"/>
    </xf>
    <xf borderId="14" fillId="0" fontId="16" numFmtId="0" xfId="0" applyAlignment="1" applyBorder="1" applyFont="1">
      <alignment horizontal="center" shrinkToFit="0" wrapText="0"/>
    </xf>
    <xf borderId="15" fillId="0" fontId="20" numFmtId="0" xfId="0" applyBorder="1" applyFont="1"/>
    <xf borderId="0" fillId="0" fontId="2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Copy of Sheet1-style">
      <tableStyleElement dxfId="1" type="firstRowStripe"/>
      <tableStyleElement dxfId="2" type="secondRowStripe"/>
    </tableStyle>
    <tableStyle count="2" pivot="0" name="Copy of 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2:B87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88:B134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2:B87" displayName="Table_3" name="Table_3" id="3">
  <tableColumns count="1">
    <tableColumn name="Column1" id="1"/>
  </tableColumns>
  <tableStyleInfo name="Copy of Sheet1-style" showColumnStripes="0" showFirstColumn="1" showLastColumn="1" showRowStripes="1"/>
</table>
</file>

<file path=xl/tables/table4.xml><?xml version="1.0" encoding="utf-8"?>
<table xmlns="http://schemas.openxmlformats.org/spreadsheetml/2006/main" headerRowCount="0" ref="B88:B134" displayName="Table_4" name="Table_4" id="4">
  <tableColumns count="1">
    <tableColumn name="Column1" id="1"/>
  </tableColumns>
  <tableStyleInfo name="Copy of 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2" max="2" width="18.88"/>
    <col customWidth="1" min="3" max="9" width="6.88"/>
    <col customWidth="1" min="10" max="30" width="6.13"/>
    <col customWidth="1" min="35" max="35" width="15.25"/>
  </cols>
  <sheetData>
    <row r="1" ht="28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5" t="s">
        <v>31</v>
      </c>
      <c r="AG1" s="6" t="s">
        <v>32</v>
      </c>
      <c r="AH1" s="7"/>
      <c r="AI1" s="7"/>
      <c r="AJ1" s="7"/>
    </row>
    <row r="2">
      <c r="A2" s="8"/>
      <c r="B2" s="8"/>
      <c r="C2" s="9" t="s">
        <v>33</v>
      </c>
      <c r="D2" s="9">
        <f t="shared" ref="D2:P2" si="1">COUNTA(D3:D1001)</f>
        <v>28</v>
      </c>
      <c r="E2" s="9">
        <f t="shared" si="1"/>
        <v>19</v>
      </c>
      <c r="F2" s="9">
        <f t="shared" si="1"/>
        <v>10</v>
      </c>
      <c r="G2" s="9">
        <f t="shared" si="1"/>
        <v>18</v>
      </c>
      <c r="H2" s="9">
        <f t="shared" si="1"/>
        <v>24</v>
      </c>
      <c r="I2" s="9">
        <f t="shared" si="1"/>
        <v>12</v>
      </c>
      <c r="J2" s="9">
        <f t="shared" si="1"/>
        <v>26</v>
      </c>
      <c r="K2" s="9">
        <f t="shared" si="1"/>
        <v>32</v>
      </c>
      <c r="L2" s="9">
        <f t="shared" si="1"/>
        <v>21</v>
      </c>
      <c r="M2" s="10">
        <f t="shared" si="1"/>
        <v>23</v>
      </c>
      <c r="N2" s="10">
        <f t="shared" si="1"/>
        <v>17</v>
      </c>
      <c r="O2" s="10">
        <f t="shared" si="1"/>
        <v>21</v>
      </c>
      <c r="P2" s="11">
        <f t="shared" si="1"/>
        <v>55</v>
      </c>
      <c r="Q2" s="10">
        <v>18.0</v>
      </c>
      <c r="R2" s="10">
        <f t="shared" ref="R2:Z2" si="2">COUNTA(R3:R1001)</f>
        <v>10</v>
      </c>
      <c r="S2" s="10">
        <f t="shared" si="2"/>
        <v>19</v>
      </c>
      <c r="T2" s="10">
        <f t="shared" si="2"/>
        <v>29</v>
      </c>
      <c r="U2" s="10">
        <f t="shared" si="2"/>
        <v>33</v>
      </c>
      <c r="V2" s="10">
        <f t="shared" si="2"/>
        <v>24</v>
      </c>
      <c r="W2" s="10">
        <f t="shared" si="2"/>
        <v>18</v>
      </c>
      <c r="X2" s="10">
        <f t="shared" si="2"/>
        <v>23</v>
      </c>
      <c r="Y2" s="10">
        <f t="shared" si="2"/>
        <v>8</v>
      </c>
      <c r="Z2" s="10">
        <f t="shared" si="2"/>
        <v>14</v>
      </c>
      <c r="AA2" s="12"/>
      <c r="AB2" s="12"/>
      <c r="AC2" s="12"/>
      <c r="AD2" s="12"/>
      <c r="AE2" s="13">
        <v>70.0</v>
      </c>
      <c r="AF2" s="13" t="s">
        <v>34</v>
      </c>
      <c r="AG2" s="13">
        <v>24.0</v>
      </c>
      <c r="AH2" s="14"/>
      <c r="AI2" s="14"/>
      <c r="AJ2" s="14"/>
      <c r="AK2" s="15"/>
      <c r="AL2" s="15"/>
      <c r="AM2" s="15"/>
      <c r="AN2" s="15"/>
      <c r="AO2" s="15"/>
      <c r="AP2" s="15"/>
      <c r="AQ2" s="15"/>
    </row>
    <row r="3">
      <c r="A3" s="16">
        <v>1.0</v>
      </c>
      <c r="B3" s="17" t="s">
        <v>35</v>
      </c>
      <c r="C3" s="18">
        <v>7.5</v>
      </c>
      <c r="D3" s="19">
        <v>10.0</v>
      </c>
      <c r="E3" s="20">
        <v>5.0</v>
      </c>
      <c r="F3" s="20">
        <v>10.0</v>
      </c>
      <c r="G3" s="20"/>
      <c r="H3" s="18">
        <v>7.5</v>
      </c>
      <c r="I3" s="18">
        <v>7.5</v>
      </c>
      <c r="J3" s="21">
        <v>5.0</v>
      </c>
      <c r="K3" s="18">
        <v>7.5</v>
      </c>
      <c r="L3" s="18">
        <v>7.5</v>
      </c>
      <c r="M3" s="22">
        <v>7.5</v>
      </c>
      <c r="N3" s="22">
        <v>7.5</v>
      </c>
      <c r="O3" s="23">
        <v>5.0</v>
      </c>
      <c r="P3" s="23">
        <v>5.0</v>
      </c>
      <c r="Q3" s="22">
        <v>2.5</v>
      </c>
      <c r="R3" s="23">
        <v>10.0</v>
      </c>
      <c r="S3" s="23">
        <v>5.0</v>
      </c>
      <c r="T3" s="22">
        <v>7.5</v>
      </c>
      <c r="U3" s="22">
        <v>7.5</v>
      </c>
      <c r="V3" s="23">
        <v>5.0</v>
      </c>
      <c r="W3" s="22">
        <v>7.5</v>
      </c>
      <c r="X3" s="24">
        <v>5.0</v>
      </c>
      <c r="Y3" s="25">
        <v>10.0</v>
      </c>
      <c r="Z3" s="26">
        <v>5.0</v>
      </c>
      <c r="AA3" s="27"/>
      <c r="AB3" s="27"/>
      <c r="AC3" s="27"/>
      <c r="AD3" s="28"/>
      <c r="AE3" s="29">
        <f t="shared" ref="AE3:AE150" si="3">sum(M3:Z3)</f>
        <v>90</v>
      </c>
      <c r="AF3" s="30">
        <f t="shared" ref="AF3:AF150" si="4">AE3/70%</f>
        <v>128.5714286</v>
      </c>
      <c r="AG3" s="31">
        <f t="shared" ref="AG3:AG150" si="5">COUNTIFS(C3:Z3, "&gt;=5")</f>
        <v>22</v>
      </c>
      <c r="AH3" s="32"/>
      <c r="AI3" s="32"/>
      <c r="AJ3" s="32"/>
    </row>
    <row r="4">
      <c r="A4" s="33">
        <v>2.0</v>
      </c>
      <c r="B4" s="34" t="s">
        <v>36</v>
      </c>
      <c r="C4" s="20">
        <v>5.0</v>
      </c>
      <c r="D4" s="20">
        <v>5.0</v>
      </c>
      <c r="E4" s="20">
        <v>5.0</v>
      </c>
      <c r="F4" s="20">
        <v>10.0</v>
      </c>
      <c r="G4" s="35"/>
      <c r="H4" s="35"/>
      <c r="I4" s="35"/>
      <c r="J4" s="36"/>
      <c r="K4" s="37"/>
      <c r="L4" s="38"/>
      <c r="M4" s="39"/>
      <c r="N4" s="39"/>
      <c r="O4" s="39"/>
      <c r="P4" s="40"/>
      <c r="Q4" s="39"/>
      <c r="R4" s="39"/>
      <c r="S4" s="39"/>
      <c r="T4" s="39"/>
      <c r="U4" s="39"/>
      <c r="V4" s="39"/>
      <c r="W4" s="39"/>
      <c r="X4" s="41"/>
      <c r="Y4" s="42"/>
      <c r="Z4" s="43"/>
      <c r="AA4" s="44"/>
      <c r="AB4" s="44"/>
      <c r="AC4" s="44"/>
      <c r="AD4" s="45"/>
      <c r="AE4" s="29">
        <f t="shared" si="3"/>
        <v>0</v>
      </c>
      <c r="AF4" s="46">
        <f t="shared" si="4"/>
        <v>0</v>
      </c>
      <c r="AG4" s="31">
        <f t="shared" si="5"/>
        <v>4</v>
      </c>
      <c r="AH4" s="32"/>
      <c r="AI4" s="32"/>
      <c r="AJ4" s="32"/>
    </row>
    <row r="5">
      <c r="A5" s="16">
        <v>3.0</v>
      </c>
      <c r="B5" s="47" t="s">
        <v>37</v>
      </c>
      <c r="C5" s="48">
        <v>7.5</v>
      </c>
      <c r="D5" s="20">
        <v>5.0</v>
      </c>
      <c r="E5" s="18">
        <v>7.5</v>
      </c>
      <c r="F5" s="35"/>
      <c r="G5" s="48">
        <v>7.5</v>
      </c>
      <c r="H5" s="20">
        <v>5.0</v>
      </c>
      <c r="I5" s="20">
        <v>5.0</v>
      </c>
      <c r="J5" s="21">
        <v>5.0</v>
      </c>
      <c r="K5" s="20">
        <v>5.0</v>
      </c>
      <c r="L5" s="49"/>
      <c r="M5" s="23"/>
      <c r="N5" s="23"/>
      <c r="O5" s="23">
        <v>5.0</v>
      </c>
      <c r="P5" s="40">
        <v>5.0</v>
      </c>
      <c r="Q5" s="39"/>
      <c r="R5" s="39"/>
      <c r="S5" s="39"/>
      <c r="T5" s="39">
        <v>5.0</v>
      </c>
      <c r="U5" s="39">
        <v>5.0</v>
      </c>
      <c r="V5" s="39">
        <v>5.0</v>
      </c>
      <c r="W5" s="39"/>
      <c r="X5" s="39">
        <v>5.0</v>
      </c>
      <c r="Y5" s="39"/>
      <c r="Z5" s="50"/>
      <c r="AA5" s="44"/>
      <c r="AB5" s="44"/>
      <c r="AC5" s="44"/>
      <c r="AD5" s="45"/>
      <c r="AE5" s="29">
        <f t="shared" si="3"/>
        <v>30</v>
      </c>
      <c r="AF5" s="46">
        <f t="shared" si="4"/>
        <v>42.85714286</v>
      </c>
      <c r="AG5" s="31">
        <f t="shared" si="5"/>
        <v>14</v>
      </c>
      <c r="AH5" s="32"/>
      <c r="AI5" s="32"/>
      <c r="AJ5" s="32"/>
    </row>
    <row r="6">
      <c r="A6" s="33">
        <v>4.0</v>
      </c>
      <c r="B6" s="34" t="s">
        <v>38</v>
      </c>
      <c r="C6" s="20">
        <v>5.0</v>
      </c>
      <c r="D6" s="20">
        <v>5.0</v>
      </c>
      <c r="E6" s="20">
        <v>5.0</v>
      </c>
      <c r="F6" s="35"/>
      <c r="G6" s="18">
        <v>7.5</v>
      </c>
      <c r="H6" s="35"/>
      <c r="I6" s="35"/>
      <c r="J6" s="36"/>
      <c r="K6" s="37"/>
      <c r="L6" s="37"/>
      <c r="M6" s="39"/>
      <c r="N6" s="39"/>
      <c r="O6" s="42"/>
      <c r="P6" s="40"/>
      <c r="Q6" s="39"/>
      <c r="R6" s="39"/>
      <c r="S6" s="39"/>
      <c r="T6" s="39"/>
      <c r="U6" s="39"/>
      <c r="V6" s="39"/>
      <c r="W6" s="39"/>
      <c r="X6" s="39"/>
      <c r="Y6" s="39"/>
      <c r="Z6" s="50"/>
      <c r="AA6" s="44"/>
      <c r="AB6" s="44"/>
      <c r="AC6" s="44"/>
      <c r="AD6" s="45"/>
      <c r="AE6" s="29">
        <f t="shared" si="3"/>
        <v>0</v>
      </c>
      <c r="AF6" s="46">
        <f t="shared" si="4"/>
        <v>0</v>
      </c>
      <c r="AG6" s="31">
        <f t="shared" si="5"/>
        <v>4</v>
      </c>
      <c r="AH6" s="32"/>
      <c r="AI6" s="32"/>
      <c r="AJ6" s="32"/>
    </row>
    <row r="7">
      <c r="A7" s="51">
        <v>5.0</v>
      </c>
      <c r="B7" s="52" t="s">
        <v>39</v>
      </c>
      <c r="C7" s="53">
        <v>5.0</v>
      </c>
      <c r="D7" s="54"/>
      <c r="E7" s="53">
        <v>5.0</v>
      </c>
      <c r="F7" s="54"/>
      <c r="G7" s="53">
        <v>5.0</v>
      </c>
      <c r="H7" s="53">
        <v>5.0</v>
      </c>
      <c r="I7" s="55">
        <v>7.5</v>
      </c>
      <c r="J7" s="56">
        <v>7.5</v>
      </c>
      <c r="K7" s="20">
        <v>5.0</v>
      </c>
      <c r="L7" s="20">
        <v>5.0</v>
      </c>
      <c r="M7" s="57"/>
      <c r="N7" s="23"/>
      <c r="O7" s="23"/>
      <c r="P7" s="40">
        <v>5.0</v>
      </c>
      <c r="Q7" s="39"/>
      <c r="R7" s="39">
        <v>10.0</v>
      </c>
      <c r="S7" s="39"/>
      <c r="T7" s="58"/>
      <c r="U7" s="58"/>
      <c r="V7" s="58"/>
      <c r="W7" s="39"/>
      <c r="X7" s="39"/>
      <c r="Y7" s="39">
        <v>10.0</v>
      </c>
      <c r="Z7" s="50"/>
      <c r="AA7" s="44"/>
      <c r="AB7" s="44"/>
      <c r="AC7" s="44"/>
      <c r="AD7" s="45"/>
      <c r="AE7" s="29">
        <f t="shared" si="3"/>
        <v>25</v>
      </c>
      <c r="AF7" s="46">
        <f t="shared" si="4"/>
        <v>35.71428571</v>
      </c>
      <c r="AG7" s="31">
        <f t="shared" si="5"/>
        <v>11</v>
      </c>
      <c r="AH7" s="59">
        <f>70*75%</f>
        <v>52.5</v>
      </c>
      <c r="AI7" s="60" t="s">
        <v>40</v>
      </c>
      <c r="AJ7" s="32"/>
    </row>
    <row r="8">
      <c r="A8" s="16">
        <v>6.0</v>
      </c>
      <c r="B8" s="17" t="s">
        <v>41</v>
      </c>
      <c r="C8" s="53">
        <v>5.0</v>
      </c>
      <c r="D8" s="53">
        <v>5.0</v>
      </c>
      <c r="E8" s="53">
        <v>5.0</v>
      </c>
      <c r="F8" s="54"/>
      <c r="G8" s="53">
        <v>5.0</v>
      </c>
      <c r="H8" s="54"/>
      <c r="I8" s="54"/>
      <c r="J8" s="61">
        <v>5.0</v>
      </c>
      <c r="K8" s="53">
        <v>5.0</v>
      </c>
      <c r="L8" s="53">
        <v>5.0</v>
      </c>
      <c r="M8" s="39">
        <v>5.0</v>
      </c>
      <c r="N8" s="39">
        <v>5.0</v>
      </c>
      <c r="O8" s="42">
        <v>5.0</v>
      </c>
      <c r="P8" s="62">
        <v>5.0</v>
      </c>
      <c r="Q8" s="63">
        <v>7.5</v>
      </c>
      <c r="R8" s="23">
        <v>10.0</v>
      </c>
      <c r="S8" s="23"/>
      <c r="T8" s="62">
        <v>5.0</v>
      </c>
      <c r="U8" s="23"/>
      <c r="V8" s="22">
        <v>7.5</v>
      </c>
      <c r="W8" s="64">
        <v>5.0</v>
      </c>
      <c r="X8" s="65">
        <v>7.5</v>
      </c>
      <c r="Y8" s="64"/>
      <c r="Z8" s="66">
        <v>7.5</v>
      </c>
      <c r="AA8" s="44"/>
      <c r="AB8" s="44"/>
      <c r="AC8" s="44"/>
      <c r="AD8" s="45"/>
      <c r="AE8" s="29">
        <f t="shared" si="3"/>
        <v>70</v>
      </c>
      <c r="AF8" s="30">
        <f t="shared" si="4"/>
        <v>100</v>
      </c>
      <c r="AG8" s="31">
        <f t="shared" si="5"/>
        <v>18</v>
      </c>
      <c r="AH8" s="67">
        <v>10.0</v>
      </c>
      <c r="AI8" s="67" t="s">
        <v>42</v>
      </c>
      <c r="AJ8" s="32"/>
    </row>
    <row r="9">
      <c r="A9" s="41">
        <v>7.0</v>
      </c>
      <c r="B9" s="68" t="s">
        <v>43</v>
      </c>
      <c r="C9" s="53">
        <v>5.0</v>
      </c>
      <c r="D9" s="54"/>
      <c r="E9" s="54"/>
      <c r="F9" s="54"/>
      <c r="G9" s="53">
        <v>5.0</v>
      </c>
      <c r="H9" s="54"/>
      <c r="I9" s="54"/>
      <c r="J9" s="36"/>
      <c r="K9" s="37"/>
      <c r="L9" s="37"/>
      <c r="M9" s="39">
        <v>5.0</v>
      </c>
      <c r="N9" s="39"/>
      <c r="O9" s="42"/>
      <c r="P9" s="40"/>
      <c r="Q9" s="39"/>
      <c r="R9" s="39"/>
      <c r="S9" s="39"/>
      <c r="T9" s="39"/>
      <c r="U9" s="39">
        <v>5.0</v>
      </c>
      <c r="V9" s="39">
        <v>5.0</v>
      </c>
      <c r="W9" s="41"/>
      <c r="X9" s="41">
        <v>5.0</v>
      </c>
      <c r="Y9" s="41"/>
      <c r="Z9" s="43"/>
      <c r="AA9" s="44"/>
      <c r="AB9" s="44"/>
      <c r="AC9" s="44"/>
      <c r="AD9" s="45"/>
      <c r="AE9" s="29">
        <f t="shared" si="3"/>
        <v>20</v>
      </c>
      <c r="AF9" s="46">
        <f t="shared" si="4"/>
        <v>28.57142857</v>
      </c>
      <c r="AG9" s="31">
        <f t="shared" si="5"/>
        <v>6</v>
      </c>
      <c r="AH9" s="60">
        <v>5.0</v>
      </c>
      <c r="AI9" s="60" t="s">
        <v>44</v>
      </c>
      <c r="AJ9" s="32"/>
    </row>
    <row r="10">
      <c r="A10" s="41">
        <v>8.0</v>
      </c>
      <c r="B10" s="68" t="s">
        <v>45</v>
      </c>
      <c r="C10" s="53">
        <v>5.0</v>
      </c>
      <c r="D10" s="54"/>
      <c r="E10" s="54"/>
      <c r="F10" s="54"/>
      <c r="G10" s="53">
        <v>5.0</v>
      </c>
      <c r="H10" s="53">
        <v>5.0</v>
      </c>
      <c r="I10" s="53">
        <v>5.0</v>
      </c>
      <c r="J10" s="36"/>
      <c r="K10" s="53">
        <v>5.0</v>
      </c>
      <c r="L10" s="53">
        <v>5.0</v>
      </c>
      <c r="M10" s="39"/>
      <c r="N10" s="39"/>
      <c r="O10" s="42"/>
      <c r="P10" s="40">
        <v>5.0</v>
      </c>
      <c r="Q10" s="39"/>
      <c r="R10" s="39">
        <v>10.0</v>
      </c>
      <c r="S10" s="39"/>
      <c r="T10" s="39"/>
      <c r="U10" s="39"/>
      <c r="V10" s="39"/>
      <c r="W10" s="39"/>
      <c r="X10" s="39"/>
      <c r="Y10" s="39">
        <v>10.0</v>
      </c>
      <c r="Z10" s="50"/>
      <c r="AA10" s="44"/>
      <c r="AB10" s="44"/>
      <c r="AC10" s="44"/>
      <c r="AD10" s="45"/>
      <c r="AE10" s="29">
        <f t="shared" si="3"/>
        <v>25</v>
      </c>
      <c r="AF10" s="46">
        <f t="shared" si="4"/>
        <v>35.71428571</v>
      </c>
      <c r="AG10" s="31">
        <f t="shared" si="5"/>
        <v>9</v>
      </c>
      <c r="AH10" s="69" t="s">
        <v>46</v>
      </c>
      <c r="AI10" s="69" t="s">
        <v>47</v>
      </c>
      <c r="AJ10" s="32"/>
    </row>
    <row r="11">
      <c r="A11" s="41">
        <v>9.0</v>
      </c>
      <c r="B11" s="68" t="s">
        <v>48</v>
      </c>
      <c r="C11" s="53">
        <v>5.0</v>
      </c>
      <c r="D11" s="54"/>
      <c r="E11" s="54"/>
      <c r="F11" s="54"/>
      <c r="G11" s="54"/>
      <c r="H11" s="54"/>
      <c r="I11" s="54"/>
      <c r="J11" s="36"/>
      <c r="K11" s="37"/>
      <c r="L11" s="37"/>
      <c r="M11" s="39"/>
      <c r="N11" s="39"/>
      <c r="O11" s="42"/>
      <c r="P11" s="40"/>
      <c r="Q11" s="39"/>
      <c r="R11" s="39"/>
      <c r="S11" s="39"/>
      <c r="T11" s="39"/>
      <c r="U11" s="39"/>
      <c r="V11" s="39"/>
      <c r="W11" s="39"/>
      <c r="X11" s="39"/>
      <c r="Y11" s="39"/>
      <c r="Z11" s="50"/>
      <c r="AA11" s="44"/>
      <c r="AB11" s="44"/>
      <c r="AC11" s="44"/>
      <c r="AD11" s="45"/>
      <c r="AE11" s="29">
        <f t="shared" si="3"/>
        <v>0</v>
      </c>
      <c r="AF11" s="46">
        <f t="shared" si="4"/>
        <v>0</v>
      </c>
      <c r="AG11" s="31">
        <f t="shared" si="5"/>
        <v>1</v>
      </c>
      <c r="AH11" s="70" t="s">
        <v>49</v>
      </c>
      <c r="AI11" s="70" t="s">
        <v>50</v>
      </c>
      <c r="AJ11" s="32"/>
    </row>
    <row r="12">
      <c r="A12" s="16">
        <v>10.0</v>
      </c>
      <c r="B12" s="17" t="s">
        <v>51</v>
      </c>
      <c r="C12" s="53">
        <v>5.0</v>
      </c>
      <c r="D12" s="53">
        <v>5.0</v>
      </c>
      <c r="E12" s="53">
        <v>5.0</v>
      </c>
      <c r="F12" s="53">
        <v>10.0</v>
      </c>
      <c r="G12" s="54"/>
      <c r="H12" s="53">
        <v>5.0</v>
      </c>
      <c r="I12" s="53">
        <v>5.0</v>
      </c>
      <c r="J12" s="21">
        <v>5.0</v>
      </c>
      <c r="K12" s="71"/>
      <c r="L12" s="20">
        <v>5.0</v>
      </c>
      <c r="M12" s="23">
        <v>5.0</v>
      </c>
      <c r="N12" s="23">
        <v>5.0</v>
      </c>
      <c r="O12" s="23">
        <v>5.0</v>
      </c>
      <c r="P12" s="23">
        <v>5.0</v>
      </c>
      <c r="Q12" s="23"/>
      <c r="R12" s="23">
        <v>10.0</v>
      </c>
      <c r="S12" s="23">
        <v>5.0</v>
      </c>
      <c r="T12" s="23">
        <v>5.0</v>
      </c>
      <c r="U12" s="23">
        <v>5.0</v>
      </c>
      <c r="V12" s="23">
        <v>5.0</v>
      </c>
      <c r="W12" s="64">
        <v>5.0</v>
      </c>
      <c r="X12" s="64">
        <v>5.0</v>
      </c>
      <c r="Y12" s="64">
        <v>10.0</v>
      </c>
      <c r="Z12" s="72">
        <v>5.0</v>
      </c>
      <c r="AA12" s="44"/>
      <c r="AB12" s="44"/>
      <c r="AC12" s="44"/>
      <c r="AD12" s="45"/>
      <c r="AE12" s="29">
        <f t="shared" si="3"/>
        <v>75</v>
      </c>
      <c r="AF12" s="30">
        <f t="shared" si="4"/>
        <v>107.1428571</v>
      </c>
      <c r="AG12" s="31">
        <f t="shared" si="5"/>
        <v>21</v>
      </c>
      <c r="AH12" s="32"/>
      <c r="AI12" s="32"/>
      <c r="AJ12" s="32"/>
    </row>
    <row r="13">
      <c r="A13" s="41">
        <v>11.0</v>
      </c>
      <c r="B13" s="68" t="s">
        <v>52</v>
      </c>
      <c r="C13" s="53">
        <v>5.0</v>
      </c>
      <c r="D13" s="53">
        <v>5.0</v>
      </c>
      <c r="E13" s="54"/>
      <c r="F13" s="54"/>
      <c r="G13" s="54"/>
      <c r="H13" s="53">
        <v>5.0</v>
      </c>
      <c r="I13" s="54"/>
      <c r="J13" s="36"/>
      <c r="K13" s="53">
        <v>5.0</v>
      </c>
      <c r="L13" s="53">
        <v>5.0</v>
      </c>
      <c r="M13" s="39">
        <v>5.0</v>
      </c>
      <c r="N13" s="39"/>
      <c r="O13" s="42"/>
      <c r="P13" s="40">
        <v>5.0</v>
      </c>
      <c r="Q13" s="39">
        <v>5.0</v>
      </c>
      <c r="R13" s="39"/>
      <c r="S13" s="39">
        <v>5.0</v>
      </c>
      <c r="T13" s="39"/>
      <c r="U13" s="39">
        <v>5.0</v>
      </c>
      <c r="V13" s="39"/>
      <c r="W13" s="41">
        <v>5.0</v>
      </c>
      <c r="X13" s="73">
        <v>7.5</v>
      </c>
      <c r="Y13" s="41">
        <v>10.0</v>
      </c>
      <c r="Z13" s="43"/>
      <c r="AA13" s="44"/>
      <c r="AB13" s="44"/>
      <c r="AC13" s="44"/>
      <c r="AD13" s="45"/>
      <c r="AE13" s="29">
        <f t="shared" si="3"/>
        <v>47.5</v>
      </c>
      <c r="AF13" s="46">
        <f t="shared" si="4"/>
        <v>67.85714286</v>
      </c>
      <c r="AG13" s="31">
        <f t="shared" si="5"/>
        <v>13</v>
      </c>
      <c r="AH13" s="74" t="s">
        <v>53</v>
      </c>
      <c r="AI13" s="75"/>
      <c r="AJ13" s="32"/>
    </row>
    <row r="14">
      <c r="A14" s="41">
        <v>12.0</v>
      </c>
      <c r="B14" s="68" t="s">
        <v>54</v>
      </c>
      <c r="C14" s="53">
        <v>5.0</v>
      </c>
      <c r="D14" s="53">
        <v>5.0</v>
      </c>
      <c r="E14" s="54"/>
      <c r="F14" s="53">
        <v>10.0</v>
      </c>
      <c r="G14" s="54"/>
      <c r="H14" s="54"/>
      <c r="I14" s="54"/>
      <c r="J14" s="61">
        <v>5.0</v>
      </c>
      <c r="K14" s="53">
        <v>5.0</v>
      </c>
      <c r="L14" s="37"/>
      <c r="M14" s="39">
        <v>5.0</v>
      </c>
      <c r="N14" s="39">
        <v>5.0</v>
      </c>
      <c r="O14" s="42"/>
      <c r="P14" s="40">
        <v>5.0</v>
      </c>
      <c r="Q14" s="39"/>
      <c r="R14" s="39">
        <v>10.0</v>
      </c>
      <c r="S14" s="39"/>
      <c r="T14" s="39"/>
      <c r="U14" s="39"/>
      <c r="V14" s="39"/>
      <c r="W14" s="39"/>
      <c r="X14" s="39"/>
      <c r="Y14" s="39">
        <v>10.0</v>
      </c>
      <c r="Z14" s="50"/>
      <c r="AA14" s="44"/>
      <c r="AB14" s="44"/>
      <c r="AC14" s="44"/>
      <c r="AD14" s="45"/>
      <c r="AE14" s="29">
        <f t="shared" si="3"/>
        <v>35</v>
      </c>
      <c r="AF14" s="46">
        <f t="shared" si="4"/>
        <v>50</v>
      </c>
      <c r="AG14" s="31">
        <f t="shared" si="5"/>
        <v>10</v>
      </c>
      <c r="AH14" s="76" t="s">
        <v>55</v>
      </c>
      <c r="AI14" s="77"/>
      <c r="AJ14" s="32"/>
    </row>
    <row r="15">
      <c r="A15" s="41">
        <v>13.0</v>
      </c>
      <c r="B15" s="68" t="s">
        <v>56</v>
      </c>
      <c r="C15" s="53">
        <v>5.0</v>
      </c>
      <c r="D15" s="54"/>
      <c r="E15" s="54"/>
      <c r="F15" s="54"/>
      <c r="G15" s="54"/>
      <c r="H15" s="54"/>
      <c r="I15" s="54"/>
      <c r="J15" s="36"/>
      <c r="K15" s="37"/>
      <c r="L15" s="37"/>
      <c r="M15" s="39"/>
      <c r="N15" s="39"/>
      <c r="O15" s="42"/>
      <c r="P15" s="40"/>
      <c r="Q15" s="39"/>
      <c r="R15" s="39"/>
      <c r="S15" s="39"/>
      <c r="T15" s="39"/>
      <c r="U15" s="39"/>
      <c r="V15" s="39"/>
      <c r="W15" s="39"/>
      <c r="X15" s="39"/>
      <c r="Y15" s="39"/>
      <c r="Z15" s="50"/>
      <c r="AA15" s="44"/>
      <c r="AB15" s="44"/>
      <c r="AC15" s="44"/>
      <c r="AD15" s="45"/>
      <c r="AE15" s="29">
        <f t="shared" si="3"/>
        <v>0</v>
      </c>
      <c r="AF15" s="46">
        <f t="shared" si="4"/>
        <v>0</v>
      </c>
      <c r="AG15" s="31">
        <f t="shared" si="5"/>
        <v>1</v>
      </c>
      <c r="AH15" s="32"/>
      <c r="AI15" s="32"/>
      <c r="AJ15" s="32"/>
    </row>
    <row r="16">
      <c r="A16" s="41">
        <v>14.0</v>
      </c>
      <c r="B16" s="68" t="s">
        <v>57</v>
      </c>
      <c r="C16" s="53">
        <v>5.0</v>
      </c>
      <c r="D16" s="54"/>
      <c r="E16" s="54"/>
      <c r="F16" s="54"/>
      <c r="G16" s="54"/>
      <c r="H16" s="54"/>
      <c r="I16" s="54"/>
      <c r="J16" s="61">
        <v>5.0</v>
      </c>
      <c r="K16" s="37"/>
      <c r="L16" s="37"/>
      <c r="M16" s="39"/>
      <c r="N16" s="39"/>
      <c r="O16" s="42"/>
      <c r="P16" s="40"/>
      <c r="Q16" s="39"/>
      <c r="R16" s="39"/>
      <c r="S16" s="39"/>
      <c r="T16" s="39"/>
      <c r="U16" s="39"/>
      <c r="V16" s="39">
        <v>5.0</v>
      </c>
      <c r="W16" s="39"/>
      <c r="X16" s="39"/>
      <c r="Y16" s="39"/>
      <c r="Z16" s="50"/>
      <c r="AA16" s="44"/>
      <c r="AB16" s="44"/>
      <c r="AC16" s="44"/>
      <c r="AD16" s="45"/>
      <c r="AE16" s="29">
        <f t="shared" si="3"/>
        <v>5</v>
      </c>
      <c r="AF16" s="46">
        <f t="shared" si="4"/>
        <v>7.142857143</v>
      </c>
      <c r="AG16" s="31">
        <f t="shared" si="5"/>
        <v>3</v>
      </c>
      <c r="AH16" s="32"/>
      <c r="AI16" s="32"/>
      <c r="AJ16" s="32"/>
    </row>
    <row r="17">
      <c r="A17" s="41">
        <v>15.0</v>
      </c>
      <c r="B17" s="68" t="s">
        <v>58</v>
      </c>
      <c r="C17" s="53">
        <v>5.0</v>
      </c>
      <c r="D17" s="53">
        <v>5.0</v>
      </c>
      <c r="E17" s="53">
        <v>5.0</v>
      </c>
      <c r="F17" s="54"/>
      <c r="G17" s="54"/>
      <c r="H17" s="54"/>
      <c r="I17" s="54"/>
      <c r="J17" s="61">
        <v>5.0</v>
      </c>
      <c r="K17" s="53">
        <v>5.0</v>
      </c>
      <c r="L17" s="53">
        <v>5.0</v>
      </c>
      <c r="M17" s="39"/>
      <c r="N17" s="39"/>
      <c r="O17" s="42"/>
      <c r="P17" s="40">
        <v>5.0</v>
      </c>
      <c r="Q17" s="39">
        <v>5.0</v>
      </c>
      <c r="R17" s="39"/>
      <c r="S17" s="39">
        <v>5.0</v>
      </c>
      <c r="T17" s="39">
        <v>5.0</v>
      </c>
      <c r="U17" s="39">
        <v>5.0</v>
      </c>
      <c r="V17" s="39"/>
      <c r="W17" s="39"/>
      <c r="X17" s="39">
        <v>5.0</v>
      </c>
      <c r="Y17" s="39"/>
      <c r="Z17" s="50"/>
      <c r="AA17" s="44"/>
      <c r="AB17" s="44"/>
      <c r="AC17" s="44"/>
      <c r="AD17" s="45"/>
      <c r="AE17" s="29">
        <f t="shared" si="3"/>
        <v>30</v>
      </c>
      <c r="AF17" s="46">
        <f t="shared" si="4"/>
        <v>42.85714286</v>
      </c>
      <c r="AG17" s="31">
        <f t="shared" si="5"/>
        <v>12</v>
      </c>
      <c r="AH17" s="32"/>
      <c r="AI17" s="32"/>
      <c r="AJ17" s="32"/>
    </row>
    <row r="18">
      <c r="A18" s="41">
        <v>16.0</v>
      </c>
      <c r="B18" s="68" t="s">
        <v>59</v>
      </c>
      <c r="C18" s="53">
        <v>5.0</v>
      </c>
      <c r="D18" s="54"/>
      <c r="E18" s="54"/>
      <c r="F18" s="54"/>
      <c r="G18" s="54"/>
      <c r="H18" s="54"/>
      <c r="I18" s="54"/>
      <c r="J18" s="36"/>
      <c r="K18" s="53">
        <v>5.0</v>
      </c>
      <c r="L18" s="37"/>
      <c r="M18" s="39"/>
      <c r="N18" s="39"/>
      <c r="O18" s="42"/>
      <c r="P18" s="40"/>
      <c r="Q18" s="39"/>
      <c r="R18" s="39"/>
      <c r="S18" s="39"/>
      <c r="T18" s="39"/>
      <c r="U18" s="39"/>
      <c r="V18" s="39"/>
      <c r="W18" s="39"/>
      <c r="X18" s="39"/>
      <c r="Y18" s="39"/>
      <c r="Z18" s="50"/>
      <c r="AA18" s="44"/>
      <c r="AB18" s="44"/>
      <c r="AC18" s="44"/>
      <c r="AD18" s="45"/>
      <c r="AE18" s="29">
        <f t="shared" si="3"/>
        <v>0</v>
      </c>
      <c r="AF18" s="46">
        <f t="shared" si="4"/>
        <v>0</v>
      </c>
      <c r="AG18" s="31">
        <f t="shared" si="5"/>
        <v>2</v>
      </c>
      <c r="AH18" s="32"/>
      <c r="AI18" s="32"/>
      <c r="AJ18" s="32"/>
    </row>
    <row r="19">
      <c r="A19" s="51">
        <v>17.0</v>
      </c>
      <c r="B19" s="52" t="s">
        <v>60</v>
      </c>
      <c r="C19" s="78">
        <v>5.0</v>
      </c>
      <c r="D19" s="79"/>
      <c r="E19" s="79"/>
      <c r="F19" s="79"/>
      <c r="G19" s="78">
        <v>5.0</v>
      </c>
      <c r="H19" s="79"/>
      <c r="I19" s="78">
        <v>5.0</v>
      </c>
      <c r="J19" s="80"/>
      <c r="K19" s="78">
        <v>5.0</v>
      </c>
      <c r="L19" s="81"/>
      <c r="M19" s="64"/>
      <c r="N19" s="64"/>
      <c r="O19" s="24">
        <v>5.0</v>
      </c>
      <c r="P19" s="40">
        <v>5.0</v>
      </c>
      <c r="Q19" s="39"/>
      <c r="R19" s="39"/>
      <c r="S19" s="39"/>
      <c r="T19" s="39">
        <v>5.0</v>
      </c>
      <c r="U19" s="39"/>
      <c r="V19" s="39"/>
      <c r="W19" s="39"/>
      <c r="X19" s="39"/>
      <c r="Y19" s="39"/>
      <c r="Z19" s="50"/>
      <c r="AA19" s="44"/>
      <c r="AB19" s="44"/>
      <c r="AC19" s="44"/>
      <c r="AD19" s="45"/>
      <c r="AE19" s="29">
        <f t="shared" si="3"/>
        <v>15</v>
      </c>
      <c r="AF19" s="46">
        <f t="shared" si="4"/>
        <v>21.42857143</v>
      </c>
      <c r="AG19" s="31">
        <f t="shared" si="5"/>
        <v>7</v>
      </c>
      <c r="AH19" s="32"/>
      <c r="AI19" s="32"/>
      <c r="AJ19" s="32"/>
    </row>
    <row r="20">
      <c r="A20" s="82">
        <v>18.0</v>
      </c>
      <c r="B20" s="83" t="s">
        <v>61</v>
      </c>
      <c r="C20" s="53">
        <v>5.0</v>
      </c>
      <c r="D20" s="53">
        <v>5.0</v>
      </c>
      <c r="E20" s="53">
        <v>5.0</v>
      </c>
      <c r="F20" s="54"/>
      <c r="G20" s="53">
        <v>5.0</v>
      </c>
      <c r="H20" s="53">
        <v>5.0</v>
      </c>
      <c r="I20" s="53">
        <v>5.0</v>
      </c>
      <c r="J20" s="21">
        <v>5.0</v>
      </c>
      <c r="K20" s="20">
        <v>5.0</v>
      </c>
      <c r="L20" s="20">
        <v>5.0</v>
      </c>
      <c r="M20" s="23">
        <v>5.0</v>
      </c>
      <c r="N20" s="23">
        <v>5.0</v>
      </c>
      <c r="O20" s="23">
        <v>5.0</v>
      </c>
      <c r="P20" s="23">
        <v>5.0</v>
      </c>
      <c r="Q20" s="23">
        <v>5.0</v>
      </c>
      <c r="R20" s="23"/>
      <c r="S20" s="23">
        <v>5.0</v>
      </c>
      <c r="T20" s="23">
        <v>5.0</v>
      </c>
      <c r="U20" s="23">
        <v>5.0</v>
      </c>
      <c r="V20" s="23">
        <v>5.0</v>
      </c>
      <c r="W20" s="64"/>
      <c r="X20" s="64">
        <v>5.0</v>
      </c>
      <c r="Y20" s="64"/>
      <c r="Z20" s="72"/>
      <c r="AA20" s="44"/>
      <c r="AB20" s="44"/>
      <c r="AC20" s="44"/>
      <c r="AD20" s="45"/>
      <c r="AE20" s="29">
        <f t="shared" si="3"/>
        <v>50</v>
      </c>
      <c r="AF20" s="46">
        <f t="shared" si="4"/>
        <v>71.42857143</v>
      </c>
      <c r="AG20" s="31">
        <f t="shared" si="5"/>
        <v>19</v>
      </c>
      <c r="AH20" s="32"/>
      <c r="AI20" s="32"/>
      <c r="AJ20" s="32"/>
    </row>
    <row r="21">
      <c r="A21" s="41">
        <v>19.0</v>
      </c>
      <c r="B21" s="68" t="s">
        <v>62</v>
      </c>
      <c r="C21" s="53">
        <v>5.0</v>
      </c>
      <c r="D21" s="53">
        <v>5.0</v>
      </c>
      <c r="E21" s="54"/>
      <c r="F21" s="54"/>
      <c r="G21" s="54"/>
      <c r="H21" s="54"/>
      <c r="I21" s="54"/>
      <c r="J21" s="36"/>
      <c r="K21" s="37"/>
      <c r="L21" s="37"/>
      <c r="M21" s="39">
        <v>5.0</v>
      </c>
      <c r="N21" s="39"/>
      <c r="O21" s="42"/>
      <c r="P21" s="40"/>
      <c r="Q21" s="39"/>
      <c r="R21" s="39"/>
      <c r="S21" s="39"/>
      <c r="T21" s="39"/>
      <c r="U21" s="39"/>
      <c r="V21" s="39"/>
      <c r="W21" s="41"/>
      <c r="X21" s="41">
        <v>5.0</v>
      </c>
      <c r="Y21" s="41"/>
      <c r="Z21" s="43"/>
      <c r="AA21" s="44"/>
      <c r="AB21" s="44"/>
      <c r="AC21" s="44"/>
      <c r="AD21" s="45"/>
      <c r="AE21" s="29">
        <f t="shared" si="3"/>
        <v>10</v>
      </c>
      <c r="AF21" s="46">
        <f t="shared" si="4"/>
        <v>14.28571429</v>
      </c>
      <c r="AG21" s="31">
        <f t="shared" si="5"/>
        <v>4</v>
      </c>
      <c r="AH21" s="32"/>
      <c r="AI21" s="32"/>
      <c r="AJ21" s="32"/>
    </row>
    <row r="22">
      <c r="A22" s="16">
        <v>20.0</v>
      </c>
      <c r="B22" s="17" t="s">
        <v>63</v>
      </c>
      <c r="C22" s="53">
        <v>5.0</v>
      </c>
      <c r="D22" s="53">
        <v>5.0</v>
      </c>
      <c r="E22" s="55">
        <v>7.5</v>
      </c>
      <c r="F22" s="53">
        <v>10.0</v>
      </c>
      <c r="G22" s="54"/>
      <c r="H22" s="55">
        <v>7.5</v>
      </c>
      <c r="I22" s="53">
        <v>5.0</v>
      </c>
      <c r="J22" s="84"/>
      <c r="K22" s="48">
        <v>7.5</v>
      </c>
      <c r="L22" s="48">
        <v>7.5</v>
      </c>
      <c r="M22" s="23"/>
      <c r="N22" s="23">
        <v>5.0</v>
      </c>
      <c r="O22" s="85">
        <v>7.5</v>
      </c>
      <c r="P22" s="85">
        <v>10.0</v>
      </c>
      <c r="Q22" s="62">
        <v>5.0</v>
      </c>
      <c r="R22" s="62">
        <v>10.0</v>
      </c>
      <c r="S22" s="62"/>
      <c r="T22" s="62"/>
      <c r="U22" s="62">
        <v>5.0</v>
      </c>
      <c r="V22" s="62">
        <v>5.0</v>
      </c>
      <c r="W22" s="65">
        <v>7.5</v>
      </c>
      <c r="X22" s="64"/>
      <c r="Y22" s="64">
        <v>10.0</v>
      </c>
      <c r="Z22" s="86">
        <v>7.5</v>
      </c>
      <c r="AA22" s="44"/>
      <c r="AB22" s="44"/>
      <c r="AC22" s="44"/>
      <c r="AD22" s="45"/>
      <c r="AE22" s="29">
        <f t="shared" si="3"/>
        <v>72.5</v>
      </c>
      <c r="AF22" s="30">
        <f t="shared" si="4"/>
        <v>103.5714286</v>
      </c>
      <c r="AG22" s="31">
        <f t="shared" si="5"/>
        <v>18</v>
      </c>
      <c r="AH22" s="32"/>
      <c r="AI22" s="32"/>
      <c r="AJ22" s="32"/>
    </row>
    <row r="23">
      <c r="A23" s="16">
        <v>21.0</v>
      </c>
      <c r="B23" s="17" t="s">
        <v>64</v>
      </c>
      <c r="C23" s="53">
        <v>5.0</v>
      </c>
      <c r="D23" s="53">
        <v>5.0</v>
      </c>
      <c r="E23" s="53">
        <v>5.0</v>
      </c>
      <c r="F23" s="55">
        <v>12.5</v>
      </c>
      <c r="G23" s="54"/>
      <c r="H23" s="53">
        <v>5.0</v>
      </c>
      <c r="I23" s="54"/>
      <c r="J23" s="87">
        <v>7.5</v>
      </c>
      <c r="K23" s="20">
        <v>5.0</v>
      </c>
      <c r="L23" s="20">
        <v>5.0</v>
      </c>
      <c r="M23" s="23">
        <v>5.0</v>
      </c>
      <c r="N23" s="63">
        <v>7.5</v>
      </c>
      <c r="O23" s="63">
        <v>7.5</v>
      </c>
      <c r="P23" s="23">
        <v>5.0</v>
      </c>
      <c r="Q23" s="23">
        <v>5.0</v>
      </c>
      <c r="R23" s="23"/>
      <c r="S23" s="85">
        <v>7.5</v>
      </c>
      <c r="T23" s="63">
        <v>7.5</v>
      </c>
      <c r="U23" s="62">
        <v>5.0</v>
      </c>
      <c r="V23" s="62">
        <v>5.0</v>
      </c>
      <c r="W23" s="88"/>
      <c r="X23" s="88">
        <v>5.0</v>
      </c>
      <c r="Y23" s="88"/>
      <c r="Z23" s="89"/>
      <c r="AA23" s="44"/>
      <c r="AB23" s="44"/>
      <c r="AC23" s="44"/>
      <c r="AD23" s="45"/>
      <c r="AE23" s="29">
        <f t="shared" si="3"/>
        <v>60</v>
      </c>
      <c r="AF23" s="30">
        <f t="shared" si="4"/>
        <v>85.71428571</v>
      </c>
      <c r="AG23" s="31">
        <f t="shared" si="5"/>
        <v>18</v>
      </c>
      <c r="AH23" s="32"/>
      <c r="AI23" s="32"/>
      <c r="AJ23" s="32"/>
    </row>
    <row r="24">
      <c r="A24" s="41">
        <v>22.0</v>
      </c>
      <c r="B24" s="68" t="s">
        <v>65</v>
      </c>
      <c r="C24" s="53">
        <v>5.0</v>
      </c>
      <c r="D24" s="54"/>
      <c r="E24" s="54"/>
      <c r="F24" s="54"/>
      <c r="G24" s="54"/>
      <c r="H24" s="54"/>
      <c r="I24" s="54"/>
      <c r="J24" s="36"/>
      <c r="K24" s="37"/>
      <c r="L24" s="37"/>
      <c r="M24" s="39"/>
      <c r="N24" s="39"/>
      <c r="O24" s="42"/>
      <c r="P24" s="40"/>
      <c r="Q24" s="39"/>
      <c r="R24" s="39"/>
      <c r="S24" s="39"/>
      <c r="T24" s="39"/>
      <c r="U24" s="44"/>
      <c r="V24" s="39"/>
      <c r="W24" s="41"/>
      <c r="X24" s="41"/>
      <c r="Y24" s="41"/>
      <c r="Z24" s="43"/>
      <c r="AA24" s="44"/>
      <c r="AB24" s="44"/>
      <c r="AC24" s="44"/>
      <c r="AD24" s="45"/>
      <c r="AE24" s="29">
        <f t="shared" si="3"/>
        <v>0</v>
      </c>
      <c r="AF24" s="46">
        <f t="shared" si="4"/>
        <v>0</v>
      </c>
      <c r="AG24" s="31">
        <f t="shared" si="5"/>
        <v>1</v>
      </c>
      <c r="AH24" s="32"/>
      <c r="AI24" s="32"/>
      <c r="AJ24" s="32"/>
    </row>
    <row r="25">
      <c r="A25" s="41">
        <v>23.0</v>
      </c>
      <c r="B25" s="68" t="s">
        <v>66</v>
      </c>
      <c r="C25" s="53">
        <v>5.0</v>
      </c>
      <c r="D25" s="53">
        <v>5.0</v>
      </c>
      <c r="E25" s="53">
        <v>5.0</v>
      </c>
      <c r="F25" s="54"/>
      <c r="G25" s="54"/>
      <c r="H25" s="53">
        <v>5.0</v>
      </c>
      <c r="I25" s="54"/>
      <c r="J25" s="61">
        <v>5.0</v>
      </c>
      <c r="K25" s="53">
        <v>5.0</v>
      </c>
      <c r="L25" s="53">
        <v>5.0</v>
      </c>
      <c r="M25" s="39">
        <v>5.0</v>
      </c>
      <c r="N25" s="39"/>
      <c r="O25" s="42">
        <v>5.0</v>
      </c>
      <c r="P25" s="40">
        <v>5.0</v>
      </c>
      <c r="Q25" s="39">
        <v>5.0</v>
      </c>
      <c r="R25" s="39"/>
      <c r="S25" s="39"/>
      <c r="T25" s="39">
        <v>5.0</v>
      </c>
      <c r="U25" s="42">
        <v>5.0</v>
      </c>
      <c r="V25" s="39"/>
      <c r="W25" s="39"/>
      <c r="X25" s="39">
        <v>5.0</v>
      </c>
      <c r="Y25" s="39"/>
      <c r="Z25" s="50"/>
      <c r="AA25" s="44"/>
      <c r="AB25" s="44"/>
      <c r="AC25" s="44"/>
      <c r="AD25" s="45"/>
      <c r="AE25" s="29">
        <f t="shared" si="3"/>
        <v>35</v>
      </c>
      <c r="AF25" s="46">
        <f t="shared" si="4"/>
        <v>50</v>
      </c>
      <c r="AG25" s="31">
        <f t="shared" si="5"/>
        <v>14</v>
      </c>
      <c r="AH25" s="32"/>
      <c r="AI25" s="32"/>
      <c r="AJ25" s="32"/>
    </row>
    <row r="26">
      <c r="A26" s="41">
        <v>24.0</v>
      </c>
      <c r="B26" s="68" t="s">
        <v>67</v>
      </c>
      <c r="C26" s="53">
        <v>5.0</v>
      </c>
      <c r="D26" s="54"/>
      <c r="E26" s="54"/>
      <c r="F26" s="54"/>
      <c r="G26" s="54"/>
      <c r="H26" s="53">
        <v>5.0</v>
      </c>
      <c r="I26" s="54"/>
      <c r="J26" s="61">
        <v>5.0</v>
      </c>
      <c r="K26" s="37"/>
      <c r="L26" s="37"/>
      <c r="M26" s="39"/>
      <c r="N26" s="39">
        <v>5.0</v>
      </c>
      <c r="O26" s="42">
        <v>5.0</v>
      </c>
      <c r="P26" s="40">
        <v>5.0</v>
      </c>
      <c r="Q26" s="39"/>
      <c r="R26" s="39"/>
      <c r="S26" s="39">
        <v>5.0</v>
      </c>
      <c r="T26" s="39">
        <v>5.0</v>
      </c>
      <c r="U26" s="42">
        <v>5.0</v>
      </c>
      <c r="V26" s="39">
        <v>5.0</v>
      </c>
      <c r="W26" s="39"/>
      <c r="X26" s="39">
        <v>5.0</v>
      </c>
      <c r="Y26" s="39"/>
      <c r="Z26" s="50"/>
      <c r="AA26" s="44"/>
      <c r="AB26" s="44"/>
      <c r="AC26" s="44"/>
      <c r="AD26" s="45"/>
      <c r="AE26" s="29">
        <f t="shared" si="3"/>
        <v>40</v>
      </c>
      <c r="AF26" s="46">
        <f t="shared" si="4"/>
        <v>57.14285714</v>
      </c>
      <c r="AG26" s="31">
        <f t="shared" si="5"/>
        <v>11</v>
      </c>
      <c r="AH26" s="32"/>
      <c r="AI26" s="32"/>
      <c r="AJ26" s="32"/>
    </row>
    <row r="27">
      <c r="A27" s="16">
        <v>25.0</v>
      </c>
      <c r="B27" s="17" t="s">
        <v>68</v>
      </c>
      <c r="C27" s="53">
        <v>5.0</v>
      </c>
      <c r="D27" s="54"/>
      <c r="E27" s="53">
        <v>5.0</v>
      </c>
      <c r="F27" s="54"/>
      <c r="G27" s="53">
        <v>5.0</v>
      </c>
      <c r="H27" s="53">
        <v>5.0</v>
      </c>
      <c r="I27" s="53">
        <v>5.0</v>
      </c>
      <c r="J27" s="61">
        <v>5.0</v>
      </c>
      <c r="K27" s="53">
        <v>5.0</v>
      </c>
      <c r="L27" s="53">
        <v>5.0</v>
      </c>
      <c r="M27" s="63">
        <v>7.5</v>
      </c>
      <c r="N27" s="23">
        <v>5.0</v>
      </c>
      <c r="O27" s="23">
        <v>5.0</v>
      </c>
      <c r="P27" s="23">
        <v>5.0</v>
      </c>
      <c r="Q27" s="23">
        <v>5.0</v>
      </c>
      <c r="R27" s="23"/>
      <c r="S27" s="63">
        <v>7.5</v>
      </c>
      <c r="T27" s="62">
        <v>5.0</v>
      </c>
      <c r="U27" s="63">
        <v>7.5</v>
      </c>
      <c r="V27" s="62">
        <v>5.0</v>
      </c>
      <c r="W27" s="64"/>
      <c r="X27" s="64">
        <v>5.0</v>
      </c>
      <c r="Y27" s="64"/>
      <c r="Z27" s="72"/>
      <c r="AA27" s="44"/>
      <c r="AB27" s="44"/>
      <c r="AC27" s="44"/>
      <c r="AD27" s="45"/>
      <c r="AE27" s="29">
        <f t="shared" si="3"/>
        <v>57.5</v>
      </c>
      <c r="AF27" s="30">
        <f t="shared" si="4"/>
        <v>82.14285714</v>
      </c>
      <c r="AG27" s="31">
        <f t="shared" si="5"/>
        <v>18</v>
      </c>
      <c r="AH27" s="90"/>
      <c r="AI27" s="90"/>
      <c r="AJ27" s="90"/>
      <c r="AK27" s="91"/>
      <c r="AL27" s="91"/>
      <c r="AM27" s="91"/>
      <c r="AN27" s="91"/>
      <c r="AO27" s="91"/>
      <c r="AP27" s="91"/>
      <c r="AQ27" s="91"/>
    </row>
    <row r="28">
      <c r="A28" s="41">
        <v>26.0</v>
      </c>
      <c r="B28" s="92" t="s">
        <v>69</v>
      </c>
      <c r="C28" s="61">
        <v>5.0</v>
      </c>
      <c r="D28" s="54"/>
      <c r="E28" s="54"/>
      <c r="F28" s="54"/>
      <c r="G28" s="54"/>
      <c r="H28" s="53">
        <v>5.0</v>
      </c>
      <c r="I28" s="54"/>
      <c r="J28" s="36"/>
      <c r="K28" s="37"/>
      <c r="L28" s="37"/>
      <c r="M28" s="39"/>
      <c r="N28" s="39">
        <v>5.0</v>
      </c>
      <c r="O28" s="42">
        <v>5.0</v>
      </c>
      <c r="P28" s="40">
        <v>5.0</v>
      </c>
      <c r="Q28" s="39">
        <v>5.0</v>
      </c>
      <c r="R28" s="39"/>
      <c r="S28" s="39"/>
      <c r="T28" s="39"/>
      <c r="U28" s="93"/>
      <c r="V28" s="39"/>
      <c r="W28" s="41">
        <v>5.0</v>
      </c>
      <c r="X28" s="41"/>
      <c r="Y28" s="41"/>
      <c r="Z28" s="43"/>
      <c r="AA28" s="44"/>
      <c r="AB28" s="44"/>
      <c r="AC28" s="44"/>
      <c r="AD28" s="45"/>
      <c r="AE28" s="29">
        <f t="shared" si="3"/>
        <v>25</v>
      </c>
      <c r="AF28" s="46">
        <f t="shared" si="4"/>
        <v>35.71428571</v>
      </c>
      <c r="AG28" s="31">
        <f t="shared" si="5"/>
        <v>7</v>
      </c>
      <c r="AH28" s="32"/>
      <c r="AI28" s="32"/>
      <c r="AJ28" s="32"/>
    </row>
    <row r="29">
      <c r="A29" s="82">
        <v>27.0</v>
      </c>
      <c r="B29" s="94" t="s">
        <v>70</v>
      </c>
      <c r="C29" s="53">
        <v>5.0</v>
      </c>
      <c r="D29" s="54"/>
      <c r="E29" s="54"/>
      <c r="F29" s="54"/>
      <c r="G29" s="54"/>
      <c r="H29" s="53">
        <v>5.0</v>
      </c>
      <c r="I29" s="54"/>
      <c r="J29" s="61">
        <v>5.0</v>
      </c>
      <c r="K29" s="53">
        <v>5.0</v>
      </c>
      <c r="L29" s="53">
        <v>5.0</v>
      </c>
      <c r="M29" s="39">
        <v>5.0</v>
      </c>
      <c r="N29" s="39">
        <v>5.0</v>
      </c>
      <c r="O29" s="42">
        <v>5.0</v>
      </c>
      <c r="P29" s="40">
        <v>5.0</v>
      </c>
      <c r="Q29" s="39">
        <v>5.0</v>
      </c>
      <c r="R29" s="39"/>
      <c r="S29" s="39">
        <v>5.0</v>
      </c>
      <c r="T29" s="39">
        <v>5.0</v>
      </c>
      <c r="U29" s="42">
        <v>5.0</v>
      </c>
      <c r="V29" s="39">
        <v>5.0</v>
      </c>
      <c r="W29" s="64"/>
      <c r="X29" s="64">
        <v>5.0</v>
      </c>
      <c r="Y29" s="64"/>
      <c r="Z29" s="72"/>
      <c r="AA29" s="44"/>
      <c r="AB29" s="44"/>
      <c r="AC29" s="44"/>
      <c r="AD29" s="45"/>
      <c r="AE29" s="29">
        <f t="shared" si="3"/>
        <v>50</v>
      </c>
      <c r="AF29" s="46">
        <f t="shared" si="4"/>
        <v>71.42857143</v>
      </c>
      <c r="AG29" s="31">
        <f t="shared" si="5"/>
        <v>15</v>
      </c>
      <c r="AH29" s="32"/>
      <c r="AI29" s="32"/>
      <c r="AJ29" s="32"/>
    </row>
    <row r="30">
      <c r="A30" s="41">
        <v>28.0</v>
      </c>
      <c r="B30" s="68" t="s">
        <v>71</v>
      </c>
      <c r="C30" s="53">
        <v>5.0</v>
      </c>
      <c r="D30" s="53">
        <v>5.0</v>
      </c>
      <c r="E30" s="53">
        <v>5.0</v>
      </c>
      <c r="F30" s="54"/>
      <c r="G30" s="54"/>
      <c r="H30" s="54"/>
      <c r="I30" s="54"/>
      <c r="J30" s="61">
        <v>5.0</v>
      </c>
      <c r="K30" s="37"/>
      <c r="L30" s="37"/>
      <c r="M30" s="39"/>
      <c r="N30" s="39"/>
      <c r="O30" s="42"/>
      <c r="P30" s="40">
        <v>5.0</v>
      </c>
      <c r="Q30" s="39">
        <v>5.0</v>
      </c>
      <c r="R30" s="39"/>
      <c r="S30" s="39"/>
      <c r="T30" s="39">
        <v>5.0</v>
      </c>
      <c r="U30" s="42">
        <v>5.0</v>
      </c>
      <c r="V30" s="39"/>
      <c r="W30" s="41"/>
      <c r="X30" s="41">
        <v>5.0</v>
      </c>
      <c r="Y30" s="41"/>
      <c r="Z30" s="43"/>
      <c r="AA30" s="44"/>
      <c r="AB30" s="44"/>
      <c r="AC30" s="44"/>
      <c r="AD30" s="45"/>
      <c r="AE30" s="29">
        <f t="shared" si="3"/>
        <v>25</v>
      </c>
      <c r="AF30" s="46">
        <f t="shared" si="4"/>
        <v>35.71428571</v>
      </c>
      <c r="AG30" s="31">
        <f t="shared" si="5"/>
        <v>9</v>
      </c>
      <c r="AH30" s="32"/>
      <c r="AI30" s="32"/>
      <c r="AJ30" s="32"/>
    </row>
    <row r="31">
      <c r="A31" s="41">
        <v>29.0</v>
      </c>
      <c r="B31" s="68" t="s">
        <v>72</v>
      </c>
      <c r="C31" s="53">
        <v>5.0</v>
      </c>
      <c r="D31" s="54"/>
      <c r="E31" s="54"/>
      <c r="F31" s="53">
        <v>10.0</v>
      </c>
      <c r="G31" s="54"/>
      <c r="H31" s="54"/>
      <c r="I31" s="54"/>
      <c r="J31" s="36"/>
      <c r="K31" s="37"/>
      <c r="L31" s="37"/>
      <c r="M31" s="39"/>
      <c r="N31" s="39"/>
      <c r="O31" s="42"/>
      <c r="P31" s="40">
        <v>5.0</v>
      </c>
      <c r="Q31" s="39"/>
      <c r="R31" s="39"/>
      <c r="S31" s="39"/>
      <c r="T31" s="39"/>
      <c r="U31" s="42">
        <v>5.0</v>
      </c>
      <c r="V31" s="39"/>
      <c r="W31" s="39"/>
      <c r="X31" s="39"/>
      <c r="Y31" s="39"/>
      <c r="Z31" s="50"/>
      <c r="AA31" s="44"/>
      <c r="AB31" s="44"/>
      <c r="AC31" s="44"/>
      <c r="AD31" s="45"/>
      <c r="AE31" s="29">
        <f t="shared" si="3"/>
        <v>10</v>
      </c>
      <c r="AF31" s="46">
        <f t="shared" si="4"/>
        <v>14.28571429</v>
      </c>
      <c r="AG31" s="31">
        <f t="shared" si="5"/>
        <v>4</v>
      </c>
      <c r="AH31" s="32"/>
      <c r="AI31" s="32"/>
      <c r="AJ31" s="32"/>
    </row>
    <row r="32">
      <c r="A32" s="41">
        <v>30.0</v>
      </c>
      <c r="B32" s="68" t="s">
        <v>73</v>
      </c>
      <c r="C32" s="53">
        <v>5.0</v>
      </c>
      <c r="D32" s="54"/>
      <c r="E32" s="54"/>
      <c r="F32" s="54"/>
      <c r="G32" s="54"/>
      <c r="H32" s="54"/>
      <c r="I32" s="54"/>
      <c r="J32" s="36"/>
      <c r="K32" s="53">
        <v>5.0</v>
      </c>
      <c r="L32" s="37"/>
      <c r="M32" s="39"/>
      <c r="N32" s="39">
        <v>5.0</v>
      </c>
      <c r="O32" s="42">
        <v>5.0</v>
      </c>
      <c r="P32" s="40"/>
      <c r="Q32" s="39"/>
      <c r="R32" s="39"/>
      <c r="S32" s="39"/>
      <c r="T32" s="39">
        <v>5.0</v>
      </c>
      <c r="U32" s="93"/>
      <c r="V32" s="39"/>
      <c r="W32" s="39"/>
      <c r="X32" s="39"/>
      <c r="Y32" s="39"/>
      <c r="Z32" s="50">
        <v>5.0</v>
      </c>
      <c r="AA32" s="44"/>
      <c r="AB32" s="44"/>
      <c r="AC32" s="44"/>
      <c r="AD32" s="45"/>
      <c r="AE32" s="29">
        <f t="shared" si="3"/>
        <v>20</v>
      </c>
      <c r="AF32" s="46">
        <f t="shared" si="4"/>
        <v>28.57142857</v>
      </c>
      <c r="AG32" s="31">
        <f t="shared" si="5"/>
        <v>6</v>
      </c>
      <c r="AH32" s="32"/>
      <c r="AI32" s="32"/>
      <c r="AJ32" s="32"/>
    </row>
    <row r="33">
      <c r="A33" s="41">
        <v>31.0</v>
      </c>
      <c r="B33" s="68" t="s">
        <v>74</v>
      </c>
      <c r="C33" s="53">
        <v>5.0</v>
      </c>
      <c r="D33" s="53">
        <v>5.0</v>
      </c>
      <c r="E33" s="54"/>
      <c r="F33" s="54"/>
      <c r="G33" s="54"/>
      <c r="H33" s="54"/>
      <c r="I33" s="54"/>
      <c r="J33" s="36"/>
      <c r="K33" s="37"/>
      <c r="L33" s="37"/>
      <c r="M33" s="39"/>
      <c r="N33" s="39"/>
      <c r="O33" s="42"/>
      <c r="P33" s="40"/>
      <c r="Q33" s="39"/>
      <c r="R33" s="39"/>
      <c r="S33" s="39"/>
      <c r="T33" s="39"/>
      <c r="U33" s="93"/>
      <c r="V33" s="39"/>
      <c r="W33" s="39"/>
      <c r="X33" s="39"/>
      <c r="Y33" s="39"/>
      <c r="Z33" s="50"/>
      <c r="AA33" s="44"/>
      <c r="AB33" s="44"/>
      <c r="AC33" s="44"/>
      <c r="AD33" s="45"/>
      <c r="AE33" s="29">
        <f t="shared" si="3"/>
        <v>0</v>
      </c>
      <c r="AF33" s="46">
        <f t="shared" si="4"/>
        <v>0</v>
      </c>
      <c r="AG33" s="31">
        <f t="shared" si="5"/>
        <v>2</v>
      </c>
      <c r="AH33" s="32"/>
      <c r="AI33" s="32"/>
      <c r="AJ33" s="32"/>
    </row>
    <row r="34">
      <c r="A34" s="41">
        <v>32.0</v>
      </c>
      <c r="B34" s="68" t="s">
        <v>75</v>
      </c>
      <c r="C34" s="53">
        <v>5.0</v>
      </c>
      <c r="D34" s="54"/>
      <c r="E34" s="54"/>
      <c r="F34" s="54"/>
      <c r="G34" s="54"/>
      <c r="H34" s="53">
        <v>5.0</v>
      </c>
      <c r="I34" s="54"/>
      <c r="J34" s="61">
        <v>5.0</v>
      </c>
      <c r="K34" s="37"/>
      <c r="L34" s="37"/>
      <c r="M34" s="39"/>
      <c r="N34" s="39"/>
      <c r="O34" s="42"/>
      <c r="P34" s="40">
        <v>5.0</v>
      </c>
      <c r="Q34" s="39"/>
      <c r="R34" s="39"/>
      <c r="S34" s="39"/>
      <c r="T34" s="42">
        <v>5.0</v>
      </c>
      <c r="U34" s="93"/>
      <c r="V34" s="95">
        <v>7.5</v>
      </c>
      <c r="W34" s="39"/>
      <c r="X34" s="39"/>
      <c r="Y34" s="39"/>
      <c r="Z34" s="50"/>
      <c r="AA34" s="44"/>
      <c r="AB34" s="44"/>
      <c r="AC34" s="44"/>
      <c r="AD34" s="45"/>
      <c r="AE34" s="29">
        <f t="shared" si="3"/>
        <v>17.5</v>
      </c>
      <c r="AF34" s="46">
        <f t="shared" si="4"/>
        <v>25</v>
      </c>
      <c r="AG34" s="31">
        <f t="shared" si="5"/>
        <v>6</v>
      </c>
      <c r="AH34" s="32"/>
      <c r="AI34" s="32"/>
      <c r="AJ34" s="32"/>
    </row>
    <row r="35">
      <c r="A35" s="41">
        <v>33.0</v>
      </c>
      <c r="B35" s="68" t="s">
        <v>76</v>
      </c>
      <c r="C35" s="53">
        <v>5.0</v>
      </c>
      <c r="D35" s="54"/>
      <c r="E35" s="53">
        <v>5.0</v>
      </c>
      <c r="F35" s="54"/>
      <c r="G35" s="53">
        <v>5.0</v>
      </c>
      <c r="H35" s="54"/>
      <c r="I35" s="54"/>
      <c r="J35" s="36"/>
      <c r="K35" s="37"/>
      <c r="L35" s="37"/>
      <c r="M35" s="39"/>
      <c r="N35" s="39"/>
      <c r="O35" s="42"/>
      <c r="P35" s="40"/>
      <c r="Q35" s="39"/>
      <c r="R35" s="39"/>
      <c r="S35" s="39"/>
      <c r="T35" s="39"/>
      <c r="U35" s="39"/>
      <c r="V35" s="39"/>
      <c r="W35" s="39"/>
      <c r="X35" s="39"/>
      <c r="Y35" s="39"/>
      <c r="Z35" s="50">
        <v>5.0</v>
      </c>
      <c r="AA35" s="44"/>
      <c r="AB35" s="44"/>
      <c r="AC35" s="44"/>
      <c r="AD35" s="45"/>
      <c r="AE35" s="29">
        <f t="shared" si="3"/>
        <v>5</v>
      </c>
      <c r="AF35" s="46">
        <f t="shared" si="4"/>
        <v>7.142857143</v>
      </c>
      <c r="AG35" s="31">
        <f t="shared" si="5"/>
        <v>4</v>
      </c>
      <c r="AH35" s="32"/>
      <c r="AI35" s="32"/>
      <c r="AJ35" s="32"/>
    </row>
    <row r="36">
      <c r="A36" s="41">
        <v>34.0</v>
      </c>
      <c r="B36" s="68" t="s">
        <v>77</v>
      </c>
      <c r="C36" s="53">
        <v>5.0</v>
      </c>
      <c r="D36" s="53">
        <v>5.0</v>
      </c>
      <c r="E36" s="54"/>
      <c r="F36" s="54"/>
      <c r="G36" s="54"/>
      <c r="H36" s="54"/>
      <c r="I36" s="54"/>
      <c r="J36" s="61">
        <v>5.0</v>
      </c>
      <c r="K36" s="37"/>
      <c r="L36" s="37"/>
      <c r="M36" s="39"/>
      <c r="N36" s="39"/>
      <c r="O36" s="42"/>
      <c r="P36" s="40">
        <v>5.0</v>
      </c>
      <c r="Q36" s="39"/>
      <c r="R36" s="39"/>
      <c r="S36" s="39"/>
      <c r="T36" s="39">
        <v>5.0</v>
      </c>
      <c r="U36" s="39">
        <v>5.0</v>
      </c>
      <c r="V36" s="39"/>
      <c r="W36" s="39"/>
      <c r="X36" s="39"/>
      <c r="Y36" s="39"/>
      <c r="Z36" s="50"/>
      <c r="AA36" s="44"/>
      <c r="AB36" s="44"/>
      <c r="AC36" s="44"/>
      <c r="AD36" s="45"/>
      <c r="AE36" s="29">
        <f t="shared" si="3"/>
        <v>15</v>
      </c>
      <c r="AF36" s="46">
        <f t="shared" si="4"/>
        <v>21.42857143</v>
      </c>
      <c r="AG36" s="31">
        <f t="shared" si="5"/>
        <v>6</v>
      </c>
      <c r="AH36" s="32"/>
      <c r="AI36" s="32"/>
      <c r="AJ36" s="32"/>
    </row>
    <row r="37">
      <c r="A37" s="41">
        <v>35.0</v>
      </c>
      <c r="B37" s="68" t="s">
        <v>78</v>
      </c>
      <c r="C37" s="53">
        <v>5.0</v>
      </c>
      <c r="D37" s="54"/>
      <c r="E37" s="54"/>
      <c r="F37" s="54"/>
      <c r="G37" s="53">
        <v>5.0</v>
      </c>
      <c r="H37" s="54"/>
      <c r="I37" s="54"/>
      <c r="J37" s="36"/>
      <c r="K37" s="53">
        <v>5.0</v>
      </c>
      <c r="L37" s="37"/>
      <c r="M37" s="39"/>
      <c r="N37" s="39"/>
      <c r="O37" s="42"/>
      <c r="P37" s="40">
        <v>5.0</v>
      </c>
      <c r="Q37" s="39"/>
      <c r="R37" s="39"/>
      <c r="S37" s="39"/>
      <c r="T37" s="39"/>
      <c r="U37" s="39">
        <v>5.0</v>
      </c>
      <c r="V37" s="39"/>
      <c r="W37" s="39"/>
      <c r="X37" s="39">
        <v>5.0</v>
      </c>
      <c r="Y37" s="39"/>
      <c r="Z37" s="50"/>
      <c r="AA37" s="44"/>
      <c r="AB37" s="44"/>
      <c r="AC37" s="44"/>
      <c r="AD37" s="45"/>
      <c r="AE37" s="29">
        <f t="shared" si="3"/>
        <v>15</v>
      </c>
      <c r="AF37" s="46">
        <f t="shared" si="4"/>
        <v>21.42857143</v>
      </c>
      <c r="AG37" s="31">
        <f t="shared" si="5"/>
        <v>6</v>
      </c>
      <c r="AH37" s="32"/>
      <c r="AI37" s="32"/>
      <c r="AJ37" s="32"/>
    </row>
    <row r="38">
      <c r="A38" s="41">
        <v>36.0</v>
      </c>
      <c r="B38" s="96" t="s">
        <v>79</v>
      </c>
      <c r="C38" s="97">
        <v>5.0</v>
      </c>
      <c r="D38" s="97">
        <v>5.0</v>
      </c>
      <c r="E38" s="97">
        <v>5.0</v>
      </c>
      <c r="F38" s="97">
        <v>10.0</v>
      </c>
      <c r="G38" s="98"/>
      <c r="H38" s="97">
        <v>5.0</v>
      </c>
      <c r="I38" s="98"/>
      <c r="J38" s="61">
        <v>5.0</v>
      </c>
      <c r="K38" s="53">
        <v>5.0</v>
      </c>
      <c r="L38" s="53">
        <v>5.0</v>
      </c>
      <c r="M38" s="39">
        <v>5.0</v>
      </c>
      <c r="N38" s="39">
        <v>5.0</v>
      </c>
      <c r="O38" s="42">
        <v>5.0</v>
      </c>
      <c r="P38" s="40">
        <v>5.0</v>
      </c>
      <c r="Q38" s="39">
        <v>5.0</v>
      </c>
      <c r="R38" s="39">
        <v>10.0</v>
      </c>
      <c r="S38" s="39"/>
      <c r="T38" s="39">
        <v>5.0</v>
      </c>
      <c r="U38" s="39">
        <v>5.0</v>
      </c>
      <c r="V38" s="39">
        <v>5.0</v>
      </c>
      <c r="W38" s="39">
        <v>5.0</v>
      </c>
      <c r="X38" s="39">
        <v>5.0</v>
      </c>
      <c r="Y38" s="39"/>
      <c r="Z38" s="50">
        <v>5.0</v>
      </c>
      <c r="AA38" s="44"/>
      <c r="AB38" s="44"/>
      <c r="AC38" s="44"/>
      <c r="AD38" s="45"/>
      <c r="AE38" s="29">
        <f t="shared" si="3"/>
        <v>65</v>
      </c>
      <c r="AF38" s="46">
        <f t="shared" si="4"/>
        <v>92.85714286</v>
      </c>
      <c r="AG38" s="31">
        <f t="shared" si="5"/>
        <v>20</v>
      </c>
      <c r="AH38" s="32"/>
      <c r="AI38" s="32"/>
      <c r="AJ38" s="32"/>
    </row>
    <row r="39">
      <c r="A39" s="41">
        <v>37.0</v>
      </c>
      <c r="B39" s="68" t="s">
        <v>80</v>
      </c>
      <c r="C39" s="54"/>
      <c r="D39" s="53">
        <v>5.0</v>
      </c>
      <c r="E39" s="54"/>
      <c r="F39" s="54"/>
      <c r="G39" s="54"/>
      <c r="H39" s="54"/>
      <c r="I39" s="54"/>
      <c r="J39" s="36"/>
      <c r="K39" s="37"/>
      <c r="L39" s="37"/>
      <c r="M39" s="39"/>
      <c r="N39" s="39"/>
      <c r="O39" s="42"/>
      <c r="P39" s="40">
        <v>5.0</v>
      </c>
      <c r="Q39" s="39"/>
      <c r="R39" s="39"/>
      <c r="S39" s="39"/>
      <c r="T39" s="39">
        <v>5.0</v>
      </c>
      <c r="U39" s="39">
        <v>5.0</v>
      </c>
      <c r="V39" s="39">
        <v>5.0</v>
      </c>
      <c r="W39" s="39"/>
      <c r="X39" s="39"/>
      <c r="Y39" s="39"/>
      <c r="Z39" s="50"/>
      <c r="AA39" s="44"/>
      <c r="AB39" s="44"/>
      <c r="AC39" s="44"/>
      <c r="AD39" s="45"/>
      <c r="AE39" s="29">
        <f t="shared" si="3"/>
        <v>20</v>
      </c>
      <c r="AF39" s="46">
        <f t="shared" si="4"/>
        <v>28.57142857</v>
      </c>
      <c r="AG39" s="31">
        <f t="shared" si="5"/>
        <v>5</v>
      </c>
      <c r="AH39" s="32"/>
      <c r="AI39" s="32"/>
      <c r="AJ39" s="32"/>
    </row>
    <row r="40">
      <c r="A40" s="41">
        <v>38.0</v>
      </c>
      <c r="B40" s="68" t="s">
        <v>81</v>
      </c>
      <c r="C40" s="54"/>
      <c r="D40" s="53">
        <v>5.0</v>
      </c>
      <c r="E40" s="54"/>
      <c r="F40" s="54"/>
      <c r="G40" s="54"/>
      <c r="H40" s="54"/>
      <c r="I40" s="54"/>
      <c r="J40" s="61">
        <v>5.0</v>
      </c>
      <c r="K40" s="37"/>
      <c r="L40" s="53">
        <v>5.0</v>
      </c>
      <c r="M40" s="39"/>
      <c r="N40" s="39"/>
      <c r="O40" s="42"/>
      <c r="P40" s="40">
        <v>5.0</v>
      </c>
      <c r="Q40" s="39"/>
      <c r="R40" s="39"/>
      <c r="S40" s="39"/>
      <c r="T40" s="39"/>
      <c r="U40" s="39">
        <v>5.0</v>
      </c>
      <c r="V40" s="39"/>
      <c r="W40" s="39"/>
      <c r="X40" s="39"/>
      <c r="Y40" s="39"/>
      <c r="Z40" s="50"/>
      <c r="AA40" s="44"/>
      <c r="AB40" s="44"/>
      <c r="AC40" s="44"/>
      <c r="AD40" s="45"/>
      <c r="AE40" s="29">
        <f t="shared" si="3"/>
        <v>10</v>
      </c>
      <c r="AF40" s="46">
        <f t="shared" si="4"/>
        <v>14.28571429</v>
      </c>
      <c r="AG40" s="31">
        <f t="shared" si="5"/>
        <v>5</v>
      </c>
      <c r="AH40" s="32"/>
      <c r="AI40" s="32"/>
      <c r="AJ40" s="32"/>
    </row>
    <row r="41">
      <c r="A41" s="41">
        <v>39.0</v>
      </c>
      <c r="B41" s="68" t="s">
        <v>82</v>
      </c>
      <c r="C41" s="54"/>
      <c r="D41" s="53">
        <v>5.0</v>
      </c>
      <c r="E41" s="54"/>
      <c r="F41" s="54"/>
      <c r="G41" s="54"/>
      <c r="H41" s="54"/>
      <c r="I41" s="54"/>
      <c r="J41" s="36"/>
      <c r="K41" s="37"/>
      <c r="L41" s="37"/>
      <c r="M41" s="39"/>
      <c r="N41" s="39"/>
      <c r="O41" s="42"/>
      <c r="P41" s="40">
        <v>5.0</v>
      </c>
      <c r="Q41" s="39"/>
      <c r="R41" s="39"/>
      <c r="S41" s="39"/>
      <c r="T41" s="39">
        <v>5.0</v>
      </c>
      <c r="U41" s="39">
        <v>5.0</v>
      </c>
      <c r="V41" s="39"/>
      <c r="W41" s="39"/>
      <c r="X41" s="39"/>
      <c r="Y41" s="39"/>
      <c r="Z41" s="50"/>
      <c r="AA41" s="44"/>
      <c r="AB41" s="44"/>
      <c r="AC41" s="44"/>
      <c r="AD41" s="45"/>
      <c r="AE41" s="29">
        <f t="shared" si="3"/>
        <v>15</v>
      </c>
      <c r="AF41" s="46">
        <f t="shared" si="4"/>
        <v>21.42857143</v>
      </c>
      <c r="AG41" s="31">
        <f t="shared" si="5"/>
        <v>4</v>
      </c>
      <c r="AH41" s="32"/>
      <c r="AI41" s="32"/>
      <c r="AJ41" s="32"/>
    </row>
    <row r="42">
      <c r="A42" s="41">
        <v>40.0</v>
      </c>
      <c r="B42" s="68" t="s">
        <v>83</v>
      </c>
      <c r="C42" s="54"/>
      <c r="D42" s="53">
        <v>5.0</v>
      </c>
      <c r="E42" s="54"/>
      <c r="F42" s="54"/>
      <c r="G42" s="54"/>
      <c r="H42" s="54"/>
      <c r="I42" s="54"/>
      <c r="J42" s="36"/>
      <c r="K42" s="37"/>
      <c r="L42" s="37"/>
      <c r="M42" s="39"/>
      <c r="N42" s="39"/>
      <c r="O42" s="42"/>
      <c r="P42" s="40"/>
      <c r="Q42" s="39"/>
      <c r="R42" s="39"/>
      <c r="S42" s="39"/>
      <c r="T42" s="39"/>
      <c r="U42" s="39"/>
      <c r="V42" s="39"/>
      <c r="W42" s="39"/>
      <c r="X42" s="39"/>
      <c r="Y42" s="39"/>
      <c r="Z42" s="50"/>
      <c r="AA42" s="44"/>
      <c r="AB42" s="44"/>
      <c r="AC42" s="44"/>
      <c r="AD42" s="45"/>
      <c r="AE42" s="29">
        <f t="shared" si="3"/>
        <v>0</v>
      </c>
      <c r="AF42" s="46">
        <f t="shared" si="4"/>
        <v>0</v>
      </c>
      <c r="AG42" s="31">
        <f t="shared" si="5"/>
        <v>1</v>
      </c>
      <c r="AH42" s="32"/>
      <c r="AI42" s="32"/>
      <c r="AJ42" s="32"/>
    </row>
    <row r="43">
      <c r="A43" s="41">
        <v>41.0</v>
      </c>
      <c r="B43" s="68" t="s">
        <v>84</v>
      </c>
      <c r="C43" s="54"/>
      <c r="D43" s="53">
        <v>5.0</v>
      </c>
      <c r="E43" s="54"/>
      <c r="F43" s="53">
        <v>10.0</v>
      </c>
      <c r="G43" s="54"/>
      <c r="H43" s="54"/>
      <c r="I43" s="54"/>
      <c r="J43" s="36"/>
      <c r="K43" s="37"/>
      <c r="L43" s="37"/>
      <c r="M43" s="39"/>
      <c r="N43" s="39">
        <v>5.0</v>
      </c>
      <c r="O43" s="42">
        <v>5.0</v>
      </c>
      <c r="P43" s="40"/>
      <c r="Q43" s="39"/>
      <c r="R43" s="39"/>
      <c r="S43" s="39"/>
      <c r="T43" s="39"/>
      <c r="U43" s="39"/>
      <c r="V43" s="39"/>
      <c r="W43" s="39"/>
      <c r="X43" s="39"/>
      <c r="Y43" s="39">
        <v>10.0</v>
      </c>
      <c r="Z43" s="50">
        <v>5.0</v>
      </c>
      <c r="AA43" s="44"/>
      <c r="AB43" s="44"/>
      <c r="AC43" s="44"/>
      <c r="AD43" s="45"/>
      <c r="AE43" s="29">
        <f t="shared" si="3"/>
        <v>25</v>
      </c>
      <c r="AF43" s="46">
        <f t="shared" si="4"/>
        <v>35.71428571</v>
      </c>
      <c r="AG43" s="31">
        <f t="shared" si="5"/>
        <v>6</v>
      </c>
      <c r="AH43" s="32"/>
      <c r="AI43" s="32"/>
      <c r="AJ43" s="32"/>
    </row>
    <row r="44">
      <c r="A44" s="41">
        <v>42.0</v>
      </c>
      <c r="B44" s="68" t="s">
        <v>85</v>
      </c>
      <c r="C44" s="54"/>
      <c r="D44" s="53">
        <v>5.0</v>
      </c>
      <c r="E44" s="54"/>
      <c r="F44" s="54"/>
      <c r="G44" s="54"/>
      <c r="H44" s="54"/>
      <c r="I44" s="54"/>
      <c r="J44" s="36"/>
      <c r="K44" s="37"/>
      <c r="L44" s="37"/>
      <c r="M44" s="39"/>
      <c r="N44" s="39"/>
      <c r="O44" s="42"/>
      <c r="P44" s="40"/>
      <c r="Q44" s="39"/>
      <c r="R44" s="39"/>
      <c r="S44" s="39"/>
      <c r="T44" s="39"/>
      <c r="U44" s="39"/>
      <c r="V44" s="39"/>
      <c r="W44" s="39"/>
      <c r="X44" s="39"/>
      <c r="Y44" s="39"/>
      <c r="Z44" s="50"/>
      <c r="AA44" s="44"/>
      <c r="AB44" s="44"/>
      <c r="AC44" s="44"/>
      <c r="AD44" s="45"/>
      <c r="AE44" s="29">
        <f t="shared" si="3"/>
        <v>0</v>
      </c>
      <c r="AF44" s="46">
        <f t="shared" si="4"/>
        <v>0</v>
      </c>
      <c r="AG44" s="31">
        <f t="shared" si="5"/>
        <v>1</v>
      </c>
      <c r="AH44" s="32"/>
      <c r="AI44" s="32"/>
      <c r="AJ44" s="32"/>
    </row>
    <row r="45">
      <c r="A45" s="41">
        <v>43.0</v>
      </c>
      <c r="B45" s="68" t="s">
        <v>86</v>
      </c>
      <c r="C45" s="54"/>
      <c r="D45" s="53">
        <v>5.0</v>
      </c>
      <c r="E45" s="54"/>
      <c r="F45" s="54"/>
      <c r="G45" s="54"/>
      <c r="H45" s="54"/>
      <c r="I45" s="54"/>
      <c r="J45" s="61">
        <v>5.0</v>
      </c>
      <c r="K45" s="37"/>
      <c r="L45" s="53">
        <v>5.0</v>
      </c>
      <c r="M45" s="39"/>
      <c r="N45" s="39"/>
      <c r="O45" s="42"/>
      <c r="P45" s="40">
        <v>5.0</v>
      </c>
      <c r="Q45" s="39"/>
      <c r="R45" s="39"/>
      <c r="S45" s="39"/>
      <c r="T45" s="39">
        <v>5.0</v>
      </c>
      <c r="U45" s="39">
        <v>5.0</v>
      </c>
      <c r="V45" s="39"/>
      <c r="W45" s="39"/>
      <c r="X45" s="39"/>
      <c r="Y45" s="39"/>
      <c r="Z45" s="50"/>
      <c r="AA45" s="44"/>
      <c r="AB45" s="44"/>
      <c r="AC45" s="44"/>
      <c r="AD45" s="45"/>
      <c r="AE45" s="29">
        <f t="shared" si="3"/>
        <v>15</v>
      </c>
      <c r="AF45" s="46">
        <f t="shared" si="4"/>
        <v>21.42857143</v>
      </c>
      <c r="AG45" s="31">
        <f t="shared" si="5"/>
        <v>6</v>
      </c>
      <c r="AH45" s="32"/>
      <c r="AI45" s="32"/>
      <c r="AJ45" s="32"/>
    </row>
    <row r="46">
      <c r="A46" s="41">
        <v>44.0</v>
      </c>
      <c r="B46" s="68" t="s">
        <v>87</v>
      </c>
      <c r="C46" s="54"/>
      <c r="D46" s="53">
        <v>5.0</v>
      </c>
      <c r="E46" s="54"/>
      <c r="F46" s="54"/>
      <c r="G46" s="54"/>
      <c r="H46" s="54"/>
      <c r="I46" s="54"/>
      <c r="J46" s="36"/>
      <c r="K46" s="37"/>
      <c r="L46" s="37"/>
      <c r="M46" s="39"/>
      <c r="N46" s="39"/>
      <c r="O46" s="42"/>
      <c r="P46" s="40"/>
      <c r="Q46" s="39"/>
      <c r="R46" s="39"/>
      <c r="S46" s="39"/>
      <c r="T46" s="39"/>
      <c r="U46" s="39">
        <v>5.0</v>
      </c>
      <c r="V46" s="39"/>
      <c r="W46" s="39"/>
      <c r="X46" s="39"/>
      <c r="Y46" s="39"/>
      <c r="Z46" s="50"/>
      <c r="AA46" s="44"/>
      <c r="AB46" s="44"/>
      <c r="AC46" s="44"/>
      <c r="AD46" s="45"/>
      <c r="AE46" s="29">
        <f t="shared" si="3"/>
        <v>5</v>
      </c>
      <c r="AF46" s="46">
        <f t="shared" si="4"/>
        <v>7.142857143</v>
      </c>
      <c r="AG46" s="31">
        <f t="shared" si="5"/>
        <v>2</v>
      </c>
      <c r="AH46" s="32"/>
      <c r="AI46" s="32"/>
      <c r="AJ46" s="32"/>
    </row>
    <row r="47">
      <c r="A47" s="41">
        <v>45.0</v>
      </c>
      <c r="B47" s="68" t="s">
        <v>88</v>
      </c>
      <c r="C47" s="54"/>
      <c r="D47" s="53">
        <v>5.0</v>
      </c>
      <c r="E47" s="54"/>
      <c r="F47" s="54"/>
      <c r="G47" s="54"/>
      <c r="H47" s="54"/>
      <c r="I47" s="54"/>
      <c r="J47" s="36"/>
      <c r="K47" s="37"/>
      <c r="L47" s="37"/>
      <c r="M47" s="39"/>
      <c r="N47" s="39"/>
      <c r="O47" s="42"/>
      <c r="P47" s="40"/>
      <c r="Q47" s="39"/>
      <c r="R47" s="39"/>
      <c r="S47" s="39"/>
      <c r="T47" s="39"/>
      <c r="U47" s="39"/>
      <c r="V47" s="39"/>
      <c r="W47" s="39"/>
      <c r="X47" s="39"/>
      <c r="Y47" s="39"/>
      <c r="Z47" s="50"/>
      <c r="AA47" s="44"/>
      <c r="AB47" s="44"/>
      <c r="AC47" s="44"/>
      <c r="AD47" s="45"/>
      <c r="AE47" s="29">
        <f t="shared" si="3"/>
        <v>0</v>
      </c>
      <c r="AF47" s="46">
        <f t="shared" si="4"/>
        <v>0</v>
      </c>
      <c r="AG47" s="31">
        <f t="shared" si="5"/>
        <v>1</v>
      </c>
      <c r="AH47" s="32"/>
      <c r="AI47" s="32"/>
      <c r="AJ47" s="32"/>
    </row>
    <row r="48">
      <c r="A48" s="41">
        <v>46.0</v>
      </c>
      <c r="B48" s="68" t="s">
        <v>89</v>
      </c>
      <c r="C48" s="54"/>
      <c r="D48" s="53">
        <v>5.0</v>
      </c>
      <c r="E48" s="53"/>
      <c r="F48" s="54"/>
      <c r="G48" s="54"/>
      <c r="H48" s="54"/>
      <c r="I48" s="54"/>
      <c r="J48" s="36"/>
      <c r="K48" s="37"/>
      <c r="L48" s="37"/>
      <c r="M48" s="39"/>
      <c r="N48" s="39"/>
      <c r="O48" s="42"/>
      <c r="P48" s="40"/>
      <c r="Q48" s="39"/>
      <c r="R48" s="39"/>
      <c r="S48" s="39"/>
      <c r="T48" s="39"/>
      <c r="U48" s="39"/>
      <c r="V48" s="39"/>
      <c r="W48" s="39"/>
      <c r="X48" s="39"/>
      <c r="Y48" s="39"/>
      <c r="Z48" s="50"/>
      <c r="AA48" s="44"/>
      <c r="AB48" s="44"/>
      <c r="AC48" s="44"/>
      <c r="AD48" s="45"/>
      <c r="AE48" s="29">
        <f t="shared" si="3"/>
        <v>0</v>
      </c>
      <c r="AF48" s="46">
        <f t="shared" si="4"/>
        <v>0</v>
      </c>
      <c r="AG48" s="31">
        <f t="shared" si="5"/>
        <v>1</v>
      </c>
      <c r="AH48" s="32"/>
      <c r="AI48" s="32"/>
      <c r="AJ48" s="32"/>
    </row>
    <row r="49">
      <c r="A49" s="41">
        <v>47.0</v>
      </c>
      <c r="B49" s="68" t="s">
        <v>90</v>
      </c>
      <c r="C49" s="54"/>
      <c r="D49" s="54"/>
      <c r="E49" s="53">
        <v>5.0</v>
      </c>
      <c r="F49" s="54"/>
      <c r="G49" s="54"/>
      <c r="H49" s="54"/>
      <c r="I49" s="54"/>
      <c r="J49" s="36"/>
      <c r="K49" s="37"/>
      <c r="L49" s="37"/>
      <c r="M49" s="39"/>
      <c r="N49" s="39"/>
      <c r="O49" s="42"/>
      <c r="P49" s="40"/>
      <c r="Q49" s="39"/>
      <c r="R49" s="39"/>
      <c r="S49" s="39"/>
      <c r="T49" s="39"/>
      <c r="U49" s="39"/>
      <c r="V49" s="39"/>
      <c r="W49" s="39"/>
      <c r="X49" s="39"/>
      <c r="Y49" s="39"/>
      <c r="Z49" s="50"/>
      <c r="AA49" s="44"/>
      <c r="AB49" s="44"/>
      <c r="AC49" s="44"/>
      <c r="AD49" s="45"/>
      <c r="AE49" s="29">
        <f t="shared" si="3"/>
        <v>0</v>
      </c>
      <c r="AF49" s="46">
        <f t="shared" si="4"/>
        <v>0</v>
      </c>
      <c r="AG49" s="31">
        <f t="shared" si="5"/>
        <v>1</v>
      </c>
      <c r="AH49" s="32"/>
      <c r="AI49" s="32"/>
      <c r="AJ49" s="32"/>
    </row>
    <row r="50">
      <c r="A50" s="41">
        <v>48.0</v>
      </c>
      <c r="B50" s="68" t="s">
        <v>91</v>
      </c>
      <c r="C50" s="54"/>
      <c r="D50" s="54"/>
      <c r="E50" s="53">
        <v>5.0</v>
      </c>
      <c r="F50" s="53">
        <v>10.0</v>
      </c>
      <c r="G50" s="54"/>
      <c r="H50" s="53">
        <v>5.0</v>
      </c>
      <c r="I50" s="54"/>
      <c r="J50" s="36"/>
      <c r="K50" s="53">
        <v>5.0</v>
      </c>
      <c r="L50" s="53">
        <v>5.0</v>
      </c>
      <c r="M50" s="39"/>
      <c r="N50" s="39"/>
      <c r="O50" s="42">
        <v>5.0</v>
      </c>
      <c r="P50" s="40">
        <v>5.0</v>
      </c>
      <c r="Q50" s="39"/>
      <c r="R50" s="39"/>
      <c r="S50" s="39">
        <v>5.0</v>
      </c>
      <c r="T50" s="39"/>
      <c r="U50" s="39"/>
      <c r="V50" s="39"/>
      <c r="W50" s="39">
        <v>5.0</v>
      </c>
      <c r="X50" s="39"/>
      <c r="Y50" s="39"/>
      <c r="Z50" s="50"/>
      <c r="AA50" s="44"/>
      <c r="AB50" s="44"/>
      <c r="AC50" s="44"/>
      <c r="AD50" s="45"/>
      <c r="AE50" s="29">
        <f t="shared" si="3"/>
        <v>20</v>
      </c>
      <c r="AF50" s="46">
        <f t="shared" si="4"/>
        <v>28.57142857</v>
      </c>
      <c r="AG50" s="31">
        <f t="shared" si="5"/>
        <v>9</v>
      </c>
      <c r="AH50" s="32"/>
      <c r="AI50" s="32"/>
      <c r="AJ50" s="32"/>
    </row>
    <row r="51">
      <c r="A51" s="41">
        <v>49.0</v>
      </c>
      <c r="B51" s="68" t="s">
        <v>92</v>
      </c>
      <c r="C51" s="54"/>
      <c r="D51" s="54"/>
      <c r="E51" s="53">
        <v>5.0</v>
      </c>
      <c r="F51" s="54"/>
      <c r="G51" s="54"/>
      <c r="H51" s="54"/>
      <c r="I51" s="54"/>
      <c r="J51" s="36"/>
      <c r="K51" s="37"/>
      <c r="L51" s="53">
        <v>5.0</v>
      </c>
      <c r="M51" s="39"/>
      <c r="N51" s="39"/>
      <c r="O51" s="42"/>
      <c r="P51" s="99">
        <v>5.0</v>
      </c>
      <c r="Q51" s="42"/>
      <c r="R51" s="42"/>
      <c r="S51" s="42"/>
      <c r="T51" s="39"/>
      <c r="U51" s="39"/>
      <c r="V51" s="39"/>
      <c r="W51" s="39"/>
      <c r="X51" s="39"/>
      <c r="Y51" s="39"/>
      <c r="Z51" s="50"/>
      <c r="AA51" s="44"/>
      <c r="AB51" s="44"/>
      <c r="AC51" s="44"/>
      <c r="AD51" s="45"/>
      <c r="AE51" s="29">
        <f t="shared" si="3"/>
        <v>5</v>
      </c>
      <c r="AF51" s="46">
        <f t="shared" si="4"/>
        <v>7.142857143</v>
      </c>
      <c r="AG51" s="31">
        <f t="shared" si="5"/>
        <v>3</v>
      </c>
      <c r="AH51" s="32"/>
      <c r="AI51" s="32"/>
      <c r="AJ51" s="32"/>
    </row>
    <row r="52">
      <c r="A52" s="41">
        <v>50.0</v>
      </c>
      <c r="B52" s="68" t="s">
        <v>93</v>
      </c>
      <c r="C52" s="54"/>
      <c r="D52" s="54"/>
      <c r="E52" s="54"/>
      <c r="F52" s="54"/>
      <c r="G52" s="54"/>
      <c r="H52" s="53">
        <v>5.0</v>
      </c>
      <c r="I52" s="53">
        <v>5.0</v>
      </c>
      <c r="J52" s="61">
        <v>5.0</v>
      </c>
      <c r="K52" s="37"/>
      <c r="L52" s="37"/>
      <c r="M52" s="39"/>
      <c r="N52" s="39"/>
      <c r="O52" s="42"/>
      <c r="P52" s="99">
        <v>5.0</v>
      </c>
      <c r="Q52" s="42"/>
      <c r="R52" s="42"/>
      <c r="S52" s="42"/>
      <c r="T52" s="39"/>
      <c r="U52" s="39"/>
      <c r="V52" s="39"/>
      <c r="W52" s="39"/>
      <c r="X52" s="39"/>
      <c r="Y52" s="39"/>
      <c r="Z52" s="50"/>
      <c r="AA52" s="44"/>
      <c r="AB52" s="44"/>
      <c r="AC52" s="44"/>
      <c r="AD52" s="45"/>
      <c r="AE52" s="29">
        <f t="shared" si="3"/>
        <v>5</v>
      </c>
      <c r="AF52" s="46">
        <f t="shared" si="4"/>
        <v>7.142857143</v>
      </c>
      <c r="AG52" s="31">
        <f t="shared" si="5"/>
        <v>4</v>
      </c>
      <c r="AH52" s="32"/>
      <c r="AI52" s="32"/>
      <c r="AJ52" s="32"/>
    </row>
    <row r="53">
      <c r="A53" s="41">
        <v>51.0</v>
      </c>
      <c r="B53" s="68" t="s">
        <v>94</v>
      </c>
      <c r="C53" s="54"/>
      <c r="D53" s="54"/>
      <c r="E53" s="54"/>
      <c r="F53" s="54"/>
      <c r="G53" s="53">
        <v>5.0</v>
      </c>
      <c r="H53" s="54"/>
      <c r="I53" s="54"/>
      <c r="J53" s="36"/>
      <c r="K53" s="53">
        <v>5.0</v>
      </c>
      <c r="L53" s="37"/>
      <c r="M53" s="39"/>
      <c r="N53" s="39"/>
      <c r="O53" s="42"/>
      <c r="P53" s="99"/>
      <c r="Q53" s="42"/>
      <c r="R53" s="42"/>
      <c r="S53" s="42"/>
      <c r="T53" s="39"/>
      <c r="U53" s="39"/>
      <c r="V53" s="39"/>
      <c r="W53" s="39"/>
      <c r="X53" s="39"/>
      <c r="Y53" s="39"/>
      <c r="Z53" s="50"/>
      <c r="AA53" s="44"/>
      <c r="AB53" s="44"/>
      <c r="AC53" s="44"/>
      <c r="AD53" s="45"/>
      <c r="AE53" s="29">
        <f t="shared" si="3"/>
        <v>0</v>
      </c>
      <c r="AF53" s="46">
        <f t="shared" si="4"/>
        <v>0</v>
      </c>
      <c r="AG53" s="31">
        <f t="shared" si="5"/>
        <v>2</v>
      </c>
      <c r="AH53" s="32"/>
      <c r="AI53" s="32"/>
      <c r="AJ53" s="32"/>
    </row>
    <row r="54">
      <c r="A54" s="41">
        <v>52.0</v>
      </c>
      <c r="B54" s="68" t="s">
        <v>95</v>
      </c>
      <c r="C54" s="54"/>
      <c r="D54" s="54"/>
      <c r="E54" s="54"/>
      <c r="F54" s="54"/>
      <c r="G54" s="53">
        <v>5.0</v>
      </c>
      <c r="H54" s="54"/>
      <c r="I54" s="54"/>
      <c r="J54" s="36"/>
      <c r="K54" s="37"/>
      <c r="L54" s="37"/>
      <c r="M54" s="39"/>
      <c r="N54" s="39"/>
      <c r="O54" s="42"/>
      <c r="P54" s="99"/>
      <c r="Q54" s="42"/>
      <c r="R54" s="42"/>
      <c r="S54" s="42"/>
      <c r="T54" s="39"/>
      <c r="U54" s="39"/>
      <c r="V54" s="39"/>
      <c r="W54" s="39"/>
      <c r="X54" s="39"/>
      <c r="Y54" s="39"/>
      <c r="Z54" s="50"/>
      <c r="AA54" s="44"/>
      <c r="AB54" s="44"/>
      <c r="AC54" s="44"/>
      <c r="AD54" s="45"/>
      <c r="AE54" s="29">
        <f t="shared" si="3"/>
        <v>0</v>
      </c>
      <c r="AF54" s="46">
        <f t="shared" si="4"/>
        <v>0</v>
      </c>
      <c r="AG54" s="31">
        <f t="shared" si="5"/>
        <v>1</v>
      </c>
      <c r="AH54" s="32"/>
      <c r="AI54" s="32"/>
      <c r="AJ54" s="32"/>
    </row>
    <row r="55">
      <c r="A55" s="41">
        <v>53.0</v>
      </c>
      <c r="B55" s="68" t="s">
        <v>96</v>
      </c>
      <c r="C55" s="54"/>
      <c r="D55" s="54"/>
      <c r="E55" s="54"/>
      <c r="F55" s="54"/>
      <c r="G55" s="53">
        <v>5.0</v>
      </c>
      <c r="H55" s="54"/>
      <c r="I55" s="54"/>
      <c r="J55" s="36"/>
      <c r="K55" s="37"/>
      <c r="L55" s="37"/>
      <c r="M55" s="39"/>
      <c r="N55" s="39"/>
      <c r="O55" s="42"/>
      <c r="P55" s="99"/>
      <c r="Q55" s="42"/>
      <c r="R55" s="42"/>
      <c r="S55" s="42"/>
      <c r="T55" s="39"/>
      <c r="U55" s="39"/>
      <c r="V55" s="39"/>
      <c r="W55" s="39"/>
      <c r="X55" s="39"/>
      <c r="Y55" s="39"/>
      <c r="Z55" s="50"/>
      <c r="AA55" s="44"/>
      <c r="AB55" s="44"/>
      <c r="AC55" s="44"/>
      <c r="AD55" s="45"/>
      <c r="AE55" s="29">
        <f t="shared" si="3"/>
        <v>0</v>
      </c>
      <c r="AF55" s="46">
        <f t="shared" si="4"/>
        <v>0</v>
      </c>
      <c r="AG55" s="31">
        <f t="shared" si="5"/>
        <v>1</v>
      </c>
      <c r="AH55" s="32"/>
      <c r="AI55" s="32"/>
      <c r="AJ55" s="32"/>
    </row>
    <row r="56">
      <c r="A56" s="41">
        <v>54.0</v>
      </c>
      <c r="B56" s="68" t="s">
        <v>97</v>
      </c>
      <c r="C56" s="54"/>
      <c r="D56" s="54"/>
      <c r="E56" s="54"/>
      <c r="F56" s="54"/>
      <c r="G56" s="53">
        <v>5.0</v>
      </c>
      <c r="H56" s="54"/>
      <c r="I56" s="54"/>
      <c r="J56" s="36"/>
      <c r="K56" s="37"/>
      <c r="L56" s="37"/>
      <c r="M56" s="39"/>
      <c r="N56" s="39"/>
      <c r="O56" s="42"/>
      <c r="P56" s="99"/>
      <c r="Q56" s="42"/>
      <c r="R56" s="42"/>
      <c r="S56" s="42"/>
      <c r="T56" s="39"/>
      <c r="U56" s="39"/>
      <c r="V56" s="39"/>
      <c r="W56" s="39"/>
      <c r="X56" s="39"/>
      <c r="Y56" s="39"/>
      <c r="Z56" s="50"/>
      <c r="AA56" s="44"/>
      <c r="AB56" s="44"/>
      <c r="AC56" s="44"/>
      <c r="AD56" s="45"/>
      <c r="AE56" s="29">
        <f t="shared" si="3"/>
        <v>0</v>
      </c>
      <c r="AF56" s="46">
        <f t="shared" si="4"/>
        <v>0</v>
      </c>
      <c r="AG56" s="31">
        <f t="shared" si="5"/>
        <v>1</v>
      </c>
      <c r="AH56" s="32"/>
      <c r="AI56" s="32"/>
      <c r="AJ56" s="32"/>
    </row>
    <row r="57">
      <c r="A57" s="41">
        <v>55.0</v>
      </c>
      <c r="B57" s="68" t="s">
        <v>98</v>
      </c>
      <c r="C57" s="54"/>
      <c r="D57" s="54"/>
      <c r="E57" s="54"/>
      <c r="F57" s="54"/>
      <c r="G57" s="53">
        <v>5.0</v>
      </c>
      <c r="H57" s="54"/>
      <c r="I57" s="53">
        <v>5.0</v>
      </c>
      <c r="J57" s="36"/>
      <c r="K57" s="37"/>
      <c r="L57" s="37"/>
      <c r="M57" s="39"/>
      <c r="N57" s="39"/>
      <c r="O57" s="42"/>
      <c r="P57" s="99"/>
      <c r="Q57" s="42"/>
      <c r="R57" s="42"/>
      <c r="S57" s="42"/>
      <c r="T57" s="39"/>
      <c r="U57" s="39"/>
      <c r="V57" s="39"/>
      <c r="W57" s="39"/>
      <c r="X57" s="39"/>
      <c r="Y57" s="39"/>
      <c r="Z57" s="50"/>
      <c r="AA57" s="44"/>
      <c r="AB57" s="44"/>
      <c r="AC57" s="44"/>
      <c r="AD57" s="45"/>
      <c r="AE57" s="29">
        <f t="shared" si="3"/>
        <v>0</v>
      </c>
      <c r="AF57" s="46">
        <f t="shared" si="4"/>
        <v>0</v>
      </c>
      <c r="AG57" s="31">
        <f t="shared" si="5"/>
        <v>2</v>
      </c>
      <c r="AH57" s="32"/>
      <c r="AI57" s="32"/>
      <c r="AJ57" s="32"/>
    </row>
    <row r="58">
      <c r="A58" s="41">
        <v>56.0</v>
      </c>
      <c r="B58" s="68" t="s">
        <v>99</v>
      </c>
      <c r="C58" s="54"/>
      <c r="D58" s="54"/>
      <c r="E58" s="54"/>
      <c r="F58" s="54"/>
      <c r="G58" s="53">
        <v>5.0</v>
      </c>
      <c r="H58" s="54"/>
      <c r="I58" s="54"/>
      <c r="J58" s="36"/>
      <c r="K58" s="37"/>
      <c r="L58" s="37"/>
      <c r="M58" s="39"/>
      <c r="N58" s="39"/>
      <c r="O58" s="42"/>
      <c r="P58" s="99"/>
      <c r="Q58" s="42"/>
      <c r="R58" s="42"/>
      <c r="S58" s="42"/>
      <c r="T58" s="39"/>
      <c r="U58" s="39"/>
      <c r="V58" s="39"/>
      <c r="W58" s="39"/>
      <c r="X58" s="39"/>
      <c r="Y58" s="39"/>
      <c r="Z58" s="50"/>
      <c r="AA58" s="44"/>
      <c r="AB58" s="44"/>
      <c r="AC58" s="44"/>
      <c r="AD58" s="45"/>
      <c r="AE58" s="29">
        <f t="shared" si="3"/>
        <v>0</v>
      </c>
      <c r="AF58" s="46">
        <f t="shared" si="4"/>
        <v>0</v>
      </c>
      <c r="AG58" s="31">
        <f t="shared" si="5"/>
        <v>1</v>
      </c>
      <c r="AH58" s="32"/>
      <c r="AI58" s="32"/>
      <c r="AJ58" s="32"/>
    </row>
    <row r="59">
      <c r="A59" s="41">
        <v>57.0</v>
      </c>
      <c r="B59" s="68" t="s">
        <v>100</v>
      </c>
      <c r="C59" s="54"/>
      <c r="D59" s="54"/>
      <c r="E59" s="54"/>
      <c r="F59" s="54"/>
      <c r="G59" s="53">
        <v>5.0</v>
      </c>
      <c r="H59" s="54"/>
      <c r="I59" s="54"/>
      <c r="J59" s="36"/>
      <c r="K59" s="37"/>
      <c r="L59" s="37"/>
      <c r="M59" s="39"/>
      <c r="N59" s="39"/>
      <c r="O59" s="42"/>
      <c r="P59" s="99"/>
      <c r="Q59" s="42"/>
      <c r="R59" s="42"/>
      <c r="S59" s="42"/>
      <c r="T59" s="39"/>
      <c r="U59" s="39"/>
      <c r="V59" s="39"/>
      <c r="W59" s="39"/>
      <c r="X59" s="39"/>
      <c r="Y59" s="39"/>
      <c r="Z59" s="50"/>
      <c r="AA59" s="44"/>
      <c r="AB59" s="44"/>
      <c r="AC59" s="44"/>
      <c r="AD59" s="45"/>
      <c r="AE59" s="29">
        <f t="shared" si="3"/>
        <v>0</v>
      </c>
      <c r="AF59" s="46">
        <f t="shared" si="4"/>
        <v>0</v>
      </c>
      <c r="AG59" s="31">
        <f t="shared" si="5"/>
        <v>1</v>
      </c>
      <c r="AH59" s="32"/>
      <c r="AI59" s="32"/>
      <c r="AJ59" s="32"/>
    </row>
    <row r="60">
      <c r="A60" s="41">
        <v>58.0</v>
      </c>
      <c r="B60" s="68" t="s">
        <v>101</v>
      </c>
      <c r="C60" s="54"/>
      <c r="D60" s="54"/>
      <c r="E60" s="54"/>
      <c r="F60" s="54"/>
      <c r="G60" s="54"/>
      <c r="H60" s="53">
        <v>5.0</v>
      </c>
      <c r="I60" s="54"/>
      <c r="J60" s="36"/>
      <c r="K60" s="37"/>
      <c r="L60" s="37"/>
      <c r="M60" s="39"/>
      <c r="N60" s="39"/>
      <c r="O60" s="42"/>
      <c r="P60" s="99"/>
      <c r="Q60" s="42"/>
      <c r="R60" s="42"/>
      <c r="S60" s="42"/>
      <c r="T60" s="39"/>
      <c r="U60" s="39"/>
      <c r="V60" s="39"/>
      <c r="W60" s="39"/>
      <c r="X60" s="39"/>
      <c r="Y60" s="39"/>
      <c r="Z60" s="50"/>
      <c r="AA60" s="44"/>
      <c r="AB60" s="44"/>
      <c r="AC60" s="44"/>
      <c r="AD60" s="45"/>
      <c r="AE60" s="29">
        <f t="shared" si="3"/>
        <v>0</v>
      </c>
      <c r="AF60" s="46">
        <f t="shared" si="4"/>
        <v>0</v>
      </c>
      <c r="AG60" s="31">
        <f t="shared" si="5"/>
        <v>1</v>
      </c>
      <c r="AH60" s="32"/>
      <c r="AI60" s="32"/>
      <c r="AJ60" s="32"/>
    </row>
    <row r="61">
      <c r="A61" s="41">
        <v>59.0</v>
      </c>
      <c r="B61" s="68" t="s">
        <v>102</v>
      </c>
      <c r="C61" s="54"/>
      <c r="D61" s="54"/>
      <c r="E61" s="54"/>
      <c r="F61" s="54"/>
      <c r="G61" s="54"/>
      <c r="H61" s="53">
        <v>5.0</v>
      </c>
      <c r="I61" s="54"/>
      <c r="J61" s="36"/>
      <c r="K61" s="37"/>
      <c r="L61" s="37"/>
      <c r="M61" s="39"/>
      <c r="N61" s="39"/>
      <c r="O61" s="42"/>
      <c r="P61" s="99"/>
      <c r="Q61" s="42"/>
      <c r="R61" s="42"/>
      <c r="S61" s="42"/>
      <c r="T61" s="39"/>
      <c r="U61" s="39"/>
      <c r="V61" s="39"/>
      <c r="W61" s="39"/>
      <c r="X61" s="39"/>
      <c r="Y61" s="39"/>
      <c r="Z61" s="50"/>
      <c r="AA61" s="44"/>
      <c r="AB61" s="44"/>
      <c r="AC61" s="44"/>
      <c r="AD61" s="45"/>
      <c r="AE61" s="29">
        <f t="shared" si="3"/>
        <v>0</v>
      </c>
      <c r="AF61" s="46">
        <f t="shared" si="4"/>
        <v>0</v>
      </c>
      <c r="AG61" s="31">
        <f t="shared" si="5"/>
        <v>1</v>
      </c>
      <c r="AH61" s="32"/>
      <c r="AI61" s="32"/>
      <c r="AJ61" s="32"/>
    </row>
    <row r="62">
      <c r="A62" s="41">
        <v>60.0</v>
      </c>
      <c r="B62" s="68" t="s">
        <v>103</v>
      </c>
      <c r="C62" s="54"/>
      <c r="D62" s="54"/>
      <c r="E62" s="54"/>
      <c r="F62" s="54"/>
      <c r="G62" s="54"/>
      <c r="H62" s="53">
        <v>5.0</v>
      </c>
      <c r="I62" s="54"/>
      <c r="J62" s="36"/>
      <c r="K62" s="37"/>
      <c r="L62" s="37"/>
      <c r="M62" s="39"/>
      <c r="N62" s="39"/>
      <c r="O62" s="42"/>
      <c r="P62" s="99">
        <v>5.0</v>
      </c>
      <c r="Q62" s="42"/>
      <c r="R62" s="42"/>
      <c r="S62" s="42"/>
      <c r="T62" s="39"/>
      <c r="U62" s="39"/>
      <c r="V62" s="39"/>
      <c r="W62" s="39"/>
      <c r="X62" s="39"/>
      <c r="Y62" s="39"/>
      <c r="Z62" s="50"/>
      <c r="AA62" s="44"/>
      <c r="AB62" s="44"/>
      <c r="AC62" s="44"/>
      <c r="AD62" s="45"/>
      <c r="AE62" s="29">
        <f t="shared" si="3"/>
        <v>5</v>
      </c>
      <c r="AF62" s="46">
        <f t="shared" si="4"/>
        <v>7.142857143</v>
      </c>
      <c r="AG62" s="31">
        <f t="shared" si="5"/>
        <v>2</v>
      </c>
      <c r="AH62" s="32"/>
      <c r="AI62" s="32"/>
      <c r="AJ62" s="32"/>
    </row>
    <row r="63">
      <c r="A63" s="41">
        <v>61.0</v>
      </c>
      <c r="B63" s="68" t="s">
        <v>104</v>
      </c>
      <c r="C63" s="54"/>
      <c r="D63" s="54"/>
      <c r="E63" s="54"/>
      <c r="F63" s="54"/>
      <c r="G63" s="54"/>
      <c r="H63" s="53">
        <v>5.0</v>
      </c>
      <c r="I63" s="54"/>
      <c r="J63" s="36"/>
      <c r="K63" s="53">
        <v>5.0</v>
      </c>
      <c r="L63" s="37"/>
      <c r="M63" s="39"/>
      <c r="N63" s="39"/>
      <c r="O63" s="42"/>
      <c r="P63" s="99"/>
      <c r="Q63" s="42"/>
      <c r="R63" s="42"/>
      <c r="S63" s="42"/>
      <c r="T63" s="39"/>
      <c r="U63" s="39"/>
      <c r="V63" s="39"/>
      <c r="W63" s="39"/>
      <c r="X63" s="39"/>
      <c r="Y63" s="39"/>
      <c r="Z63" s="50"/>
      <c r="AA63" s="44"/>
      <c r="AB63" s="44"/>
      <c r="AC63" s="44"/>
      <c r="AD63" s="45"/>
      <c r="AE63" s="29">
        <f t="shared" si="3"/>
        <v>0</v>
      </c>
      <c r="AF63" s="46">
        <f t="shared" si="4"/>
        <v>0</v>
      </c>
      <c r="AG63" s="31">
        <f t="shared" si="5"/>
        <v>2</v>
      </c>
      <c r="AH63" s="32"/>
      <c r="AI63" s="32"/>
      <c r="AJ63" s="32"/>
    </row>
    <row r="64">
      <c r="A64" s="82">
        <v>62.0</v>
      </c>
      <c r="B64" s="83" t="s">
        <v>105</v>
      </c>
      <c r="C64" s="54"/>
      <c r="D64" s="54"/>
      <c r="E64" s="54"/>
      <c r="F64" s="54"/>
      <c r="G64" s="54"/>
      <c r="H64" s="53">
        <v>5.0</v>
      </c>
      <c r="I64" s="54"/>
      <c r="J64" s="61">
        <v>5.0</v>
      </c>
      <c r="K64" s="53">
        <v>5.0</v>
      </c>
      <c r="L64" s="53">
        <v>5.0</v>
      </c>
      <c r="M64" s="39"/>
      <c r="N64" s="39">
        <v>5.0</v>
      </c>
      <c r="O64" s="42">
        <v>5.0</v>
      </c>
      <c r="P64" s="99">
        <v>5.0</v>
      </c>
      <c r="Q64" s="42">
        <v>5.0</v>
      </c>
      <c r="R64" s="42"/>
      <c r="S64" s="42">
        <v>5.0</v>
      </c>
      <c r="T64" s="39">
        <v>5.0</v>
      </c>
      <c r="U64" s="39">
        <v>5.0</v>
      </c>
      <c r="V64" s="39">
        <v>5.0</v>
      </c>
      <c r="W64" s="64"/>
      <c r="X64" s="64"/>
      <c r="Y64" s="64"/>
      <c r="Z64" s="72"/>
      <c r="AA64" s="44"/>
      <c r="AB64" s="44"/>
      <c r="AC64" s="44"/>
      <c r="AD64" s="45"/>
      <c r="AE64" s="29">
        <f t="shared" si="3"/>
        <v>40</v>
      </c>
      <c r="AF64" s="46">
        <f t="shared" si="4"/>
        <v>57.14285714</v>
      </c>
      <c r="AG64" s="31">
        <f t="shared" si="5"/>
        <v>12</v>
      </c>
      <c r="AH64" s="32"/>
      <c r="AI64" s="32"/>
      <c r="AJ64" s="32"/>
    </row>
    <row r="65">
      <c r="A65" s="41">
        <v>63.0</v>
      </c>
      <c r="B65" s="68" t="s">
        <v>106</v>
      </c>
      <c r="C65" s="54"/>
      <c r="D65" s="54"/>
      <c r="E65" s="54"/>
      <c r="F65" s="54"/>
      <c r="G65" s="54"/>
      <c r="H65" s="53">
        <v>5.0</v>
      </c>
      <c r="I65" s="54"/>
      <c r="J65" s="36"/>
      <c r="K65" s="37"/>
      <c r="L65" s="37"/>
      <c r="M65" s="39"/>
      <c r="N65" s="39"/>
      <c r="O65" s="42"/>
      <c r="P65" s="99"/>
      <c r="Q65" s="42"/>
      <c r="R65" s="42"/>
      <c r="S65" s="42"/>
      <c r="T65" s="39"/>
      <c r="U65" s="39"/>
      <c r="V65" s="39"/>
      <c r="W65" s="41"/>
      <c r="X65" s="41"/>
      <c r="Y65" s="41"/>
      <c r="Z65" s="43">
        <v>5.0</v>
      </c>
      <c r="AA65" s="44"/>
      <c r="AB65" s="44"/>
      <c r="AC65" s="44"/>
      <c r="AD65" s="45"/>
      <c r="AE65" s="29">
        <f t="shared" si="3"/>
        <v>5</v>
      </c>
      <c r="AF65" s="46">
        <f t="shared" si="4"/>
        <v>7.142857143</v>
      </c>
      <c r="AG65" s="31">
        <f t="shared" si="5"/>
        <v>2</v>
      </c>
      <c r="AH65" s="32"/>
      <c r="AI65" s="32"/>
      <c r="AJ65" s="32"/>
    </row>
    <row r="66">
      <c r="A66" s="41">
        <v>64.0</v>
      </c>
      <c r="B66" s="68" t="s">
        <v>107</v>
      </c>
      <c r="C66" s="54"/>
      <c r="D66" s="54"/>
      <c r="E66" s="54"/>
      <c r="F66" s="54"/>
      <c r="G66" s="54"/>
      <c r="H66" s="54"/>
      <c r="I66" s="53">
        <v>5.0</v>
      </c>
      <c r="J66" s="36"/>
      <c r="K66" s="37"/>
      <c r="L66" s="37"/>
      <c r="M66" s="39"/>
      <c r="N66" s="39"/>
      <c r="O66" s="42"/>
      <c r="P66" s="99"/>
      <c r="Q66" s="42"/>
      <c r="R66" s="42"/>
      <c r="S66" s="42"/>
      <c r="T66" s="39"/>
      <c r="U66" s="39">
        <v>5.0</v>
      </c>
      <c r="V66" s="39"/>
      <c r="W66" s="39"/>
      <c r="X66" s="39"/>
      <c r="Y66" s="39"/>
      <c r="Z66" s="50"/>
      <c r="AA66" s="44"/>
      <c r="AB66" s="44"/>
      <c r="AC66" s="44"/>
      <c r="AD66" s="45"/>
      <c r="AE66" s="29">
        <f t="shared" si="3"/>
        <v>5</v>
      </c>
      <c r="AF66" s="46">
        <f t="shared" si="4"/>
        <v>7.142857143</v>
      </c>
      <c r="AG66" s="31">
        <f t="shared" si="5"/>
        <v>2</v>
      </c>
      <c r="AH66" s="32"/>
      <c r="AI66" s="32"/>
      <c r="AJ66" s="32"/>
    </row>
    <row r="67">
      <c r="A67" s="41">
        <v>65.0</v>
      </c>
      <c r="B67" s="100" t="s">
        <v>108</v>
      </c>
      <c r="C67" s="101"/>
      <c r="D67" s="101"/>
      <c r="E67" s="101"/>
      <c r="F67" s="101"/>
      <c r="G67" s="101"/>
      <c r="H67" s="101"/>
      <c r="I67" s="101"/>
      <c r="J67" s="102">
        <v>5.0</v>
      </c>
      <c r="K67" s="101"/>
      <c r="L67" s="101"/>
      <c r="M67" s="39"/>
      <c r="N67" s="39"/>
      <c r="O67" s="42"/>
      <c r="P67" s="99"/>
      <c r="Q67" s="42"/>
      <c r="R67" s="42"/>
      <c r="S67" s="42"/>
      <c r="T67" s="39"/>
      <c r="U67" s="39"/>
      <c r="V67" s="39"/>
      <c r="W67" s="39"/>
      <c r="X67" s="39"/>
      <c r="Y67" s="39"/>
      <c r="Z67" s="50"/>
      <c r="AA67" s="44"/>
      <c r="AB67" s="44"/>
      <c r="AC67" s="44"/>
      <c r="AD67" s="45"/>
      <c r="AE67" s="29">
        <f t="shared" si="3"/>
        <v>0</v>
      </c>
      <c r="AF67" s="46">
        <f t="shared" si="4"/>
        <v>0</v>
      </c>
      <c r="AG67" s="31">
        <f t="shared" si="5"/>
        <v>1</v>
      </c>
      <c r="AH67" s="32"/>
      <c r="AI67" s="32"/>
      <c r="AJ67" s="32"/>
    </row>
    <row r="68">
      <c r="A68" s="39">
        <v>66.0</v>
      </c>
      <c r="B68" s="68" t="s">
        <v>109</v>
      </c>
      <c r="C68" s="54"/>
      <c r="D68" s="54"/>
      <c r="E68" s="54"/>
      <c r="F68" s="54"/>
      <c r="G68" s="54"/>
      <c r="H68" s="54"/>
      <c r="I68" s="54"/>
      <c r="J68" s="53">
        <v>5.0</v>
      </c>
      <c r="K68" s="54"/>
      <c r="L68" s="54"/>
      <c r="M68" s="39"/>
      <c r="N68" s="39"/>
      <c r="O68" s="42"/>
      <c r="P68" s="99"/>
      <c r="Q68" s="42"/>
      <c r="R68" s="42"/>
      <c r="S68" s="42"/>
      <c r="T68" s="39"/>
      <c r="U68" s="39"/>
      <c r="V68" s="39"/>
      <c r="W68" s="39"/>
      <c r="X68" s="39"/>
      <c r="Y68" s="39"/>
      <c r="Z68" s="50"/>
      <c r="AA68" s="44"/>
      <c r="AB68" s="44"/>
      <c r="AC68" s="44"/>
      <c r="AD68" s="45"/>
      <c r="AE68" s="29">
        <f t="shared" si="3"/>
        <v>0</v>
      </c>
      <c r="AF68" s="46">
        <f t="shared" si="4"/>
        <v>0</v>
      </c>
      <c r="AG68" s="31">
        <f t="shared" si="5"/>
        <v>1</v>
      </c>
      <c r="AH68" s="32"/>
      <c r="AI68" s="32"/>
      <c r="AJ68" s="32"/>
    </row>
    <row r="69">
      <c r="A69" s="41">
        <v>67.0</v>
      </c>
      <c r="B69" s="68" t="s">
        <v>110</v>
      </c>
      <c r="C69" s="54"/>
      <c r="D69" s="54"/>
      <c r="E69" s="54"/>
      <c r="F69" s="54"/>
      <c r="G69" s="54"/>
      <c r="H69" s="54"/>
      <c r="I69" s="54"/>
      <c r="J69" s="53">
        <v>5.0</v>
      </c>
      <c r="K69" s="54"/>
      <c r="L69" s="54"/>
      <c r="M69" s="39"/>
      <c r="N69" s="39"/>
      <c r="O69" s="42"/>
      <c r="P69" s="99">
        <v>5.0</v>
      </c>
      <c r="Q69" s="42"/>
      <c r="R69" s="42"/>
      <c r="S69" s="42"/>
      <c r="T69" s="39"/>
      <c r="U69" s="39"/>
      <c r="V69" s="39"/>
      <c r="W69" s="39"/>
      <c r="X69" s="39"/>
      <c r="Y69" s="39"/>
      <c r="Z69" s="50"/>
      <c r="AA69" s="44"/>
      <c r="AB69" s="44"/>
      <c r="AC69" s="44"/>
      <c r="AD69" s="45"/>
      <c r="AE69" s="29">
        <f t="shared" si="3"/>
        <v>5</v>
      </c>
      <c r="AF69" s="46">
        <f t="shared" si="4"/>
        <v>7.142857143</v>
      </c>
      <c r="AG69" s="31">
        <f t="shared" si="5"/>
        <v>2</v>
      </c>
      <c r="AH69" s="32"/>
      <c r="AI69" s="32"/>
      <c r="AJ69" s="32"/>
    </row>
    <row r="70">
      <c r="A70" s="41">
        <v>68.0</v>
      </c>
      <c r="B70" s="68" t="s">
        <v>111</v>
      </c>
      <c r="C70" s="54"/>
      <c r="D70" s="54"/>
      <c r="E70" s="54"/>
      <c r="F70" s="54"/>
      <c r="G70" s="54"/>
      <c r="H70" s="54"/>
      <c r="I70" s="54"/>
      <c r="J70" s="53">
        <v>5.0</v>
      </c>
      <c r="K70" s="54"/>
      <c r="L70" s="54"/>
      <c r="M70" s="39"/>
      <c r="N70" s="39"/>
      <c r="O70" s="42"/>
      <c r="P70" s="99"/>
      <c r="Q70" s="42"/>
      <c r="R70" s="42"/>
      <c r="S70" s="42"/>
      <c r="T70" s="39"/>
      <c r="U70" s="39"/>
      <c r="V70" s="39"/>
      <c r="W70" s="39"/>
      <c r="X70" s="39"/>
      <c r="Y70" s="39"/>
      <c r="Z70" s="50"/>
      <c r="AA70" s="44"/>
      <c r="AB70" s="44"/>
      <c r="AC70" s="44"/>
      <c r="AD70" s="45"/>
      <c r="AE70" s="29">
        <f t="shared" si="3"/>
        <v>0</v>
      </c>
      <c r="AF70" s="46">
        <f t="shared" si="4"/>
        <v>0</v>
      </c>
      <c r="AG70" s="31">
        <f t="shared" si="5"/>
        <v>1</v>
      </c>
      <c r="AH70" s="32"/>
      <c r="AI70" s="32"/>
      <c r="AJ70" s="32"/>
    </row>
    <row r="71">
      <c r="A71" s="41">
        <v>69.0</v>
      </c>
      <c r="B71" s="68" t="s">
        <v>112</v>
      </c>
      <c r="C71" s="54"/>
      <c r="D71" s="54"/>
      <c r="E71" s="54"/>
      <c r="F71" s="54"/>
      <c r="G71" s="54"/>
      <c r="H71" s="54"/>
      <c r="I71" s="54"/>
      <c r="J71" s="54"/>
      <c r="K71" s="53">
        <v>5.0</v>
      </c>
      <c r="L71" s="54"/>
      <c r="M71" s="39"/>
      <c r="N71" s="39"/>
      <c r="O71" s="42"/>
      <c r="P71" s="99"/>
      <c r="Q71" s="42"/>
      <c r="R71" s="42"/>
      <c r="S71" s="42"/>
      <c r="T71" s="39"/>
      <c r="U71" s="39"/>
      <c r="V71" s="39"/>
      <c r="W71" s="39"/>
      <c r="X71" s="39"/>
      <c r="Y71" s="39"/>
      <c r="Z71" s="50"/>
      <c r="AA71" s="44"/>
      <c r="AB71" s="44"/>
      <c r="AC71" s="44"/>
      <c r="AD71" s="45"/>
      <c r="AE71" s="29">
        <f t="shared" si="3"/>
        <v>0</v>
      </c>
      <c r="AF71" s="46">
        <f t="shared" si="4"/>
        <v>0</v>
      </c>
      <c r="AG71" s="31">
        <f t="shared" si="5"/>
        <v>1</v>
      </c>
      <c r="AH71" s="32"/>
      <c r="AI71" s="32"/>
      <c r="AJ71" s="32"/>
    </row>
    <row r="72">
      <c r="A72" s="41">
        <v>70.0</v>
      </c>
      <c r="B72" s="68" t="s">
        <v>113</v>
      </c>
      <c r="C72" s="54"/>
      <c r="D72" s="54"/>
      <c r="E72" s="54"/>
      <c r="F72" s="54"/>
      <c r="G72" s="54"/>
      <c r="H72" s="54"/>
      <c r="I72" s="54"/>
      <c r="J72" s="54"/>
      <c r="K72" s="53">
        <v>5.0</v>
      </c>
      <c r="L72" s="54"/>
      <c r="M72" s="39">
        <v>5.0</v>
      </c>
      <c r="N72" s="39">
        <v>5.0</v>
      </c>
      <c r="O72" s="42"/>
      <c r="P72" s="99">
        <v>5.0</v>
      </c>
      <c r="Q72" s="42">
        <v>5.0</v>
      </c>
      <c r="R72" s="42"/>
      <c r="S72" s="42">
        <v>5.0</v>
      </c>
      <c r="T72" s="39">
        <v>5.0</v>
      </c>
      <c r="U72" s="39"/>
      <c r="V72" s="39">
        <v>5.0</v>
      </c>
      <c r="W72" s="39">
        <v>5.0</v>
      </c>
      <c r="X72" s="39"/>
      <c r="Y72" s="39"/>
      <c r="Z72" s="50"/>
      <c r="AA72" s="44"/>
      <c r="AB72" s="44"/>
      <c r="AC72" s="44"/>
      <c r="AD72" s="45"/>
      <c r="AE72" s="29">
        <f t="shared" si="3"/>
        <v>40</v>
      </c>
      <c r="AF72" s="46">
        <f t="shared" si="4"/>
        <v>57.14285714</v>
      </c>
      <c r="AG72" s="31">
        <f t="shared" si="5"/>
        <v>9</v>
      </c>
      <c r="AH72" s="32"/>
      <c r="AI72" s="32"/>
      <c r="AJ72" s="32"/>
    </row>
    <row r="73">
      <c r="A73" s="41">
        <v>71.0</v>
      </c>
      <c r="B73" s="68" t="s">
        <v>114</v>
      </c>
      <c r="C73" s="54"/>
      <c r="D73" s="54"/>
      <c r="E73" s="54"/>
      <c r="F73" s="54"/>
      <c r="G73" s="54"/>
      <c r="H73" s="54"/>
      <c r="I73" s="54"/>
      <c r="J73" s="54"/>
      <c r="K73" s="53">
        <v>5.0</v>
      </c>
      <c r="L73" s="54"/>
      <c r="M73" s="39"/>
      <c r="N73" s="39"/>
      <c r="O73" s="42"/>
      <c r="P73" s="99"/>
      <c r="Q73" s="42"/>
      <c r="R73" s="42"/>
      <c r="S73" s="42"/>
      <c r="T73" s="39"/>
      <c r="U73" s="39"/>
      <c r="V73" s="39"/>
      <c r="W73" s="39"/>
      <c r="X73" s="39"/>
      <c r="Y73" s="39"/>
      <c r="Z73" s="50"/>
      <c r="AA73" s="44"/>
      <c r="AB73" s="44"/>
      <c r="AC73" s="44"/>
      <c r="AD73" s="45"/>
      <c r="AE73" s="29">
        <f t="shared" si="3"/>
        <v>0</v>
      </c>
      <c r="AF73" s="46">
        <f t="shared" si="4"/>
        <v>0</v>
      </c>
      <c r="AG73" s="31">
        <f t="shared" si="5"/>
        <v>1</v>
      </c>
      <c r="AH73" s="32"/>
      <c r="AI73" s="32"/>
      <c r="AJ73" s="32"/>
    </row>
    <row r="74">
      <c r="A74" s="41">
        <v>72.0</v>
      </c>
      <c r="B74" s="68" t="s">
        <v>115</v>
      </c>
      <c r="C74" s="54"/>
      <c r="D74" s="54"/>
      <c r="E74" s="54"/>
      <c r="F74" s="54"/>
      <c r="G74" s="54"/>
      <c r="H74" s="54"/>
      <c r="I74" s="54"/>
      <c r="J74" s="54"/>
      <c r="K74" s="53">
        <v>5.0</v>
      </c>
      <c r="L74" s="54"/>
      <c r="M74" s="39"/>
      <c r="N74" s="39"/>
      <c r="O74" s="42"/>
      <c r="P74" s="99"/>
      <c r="Q74" s="42"/>
      <c r="R74" s="42"/>
      <c r="S74" s="42"/>
      <c r="T74" s="39"/>
      <c r="U74" s="39"/>
      <c r="V74" s="39"/>
      <c r="W74" s="39"/>
      <c r="X74" s="39"/>
      <c r="Y74" s="39"/>
      <c r="Z74" s="50"/>
      <c r="AA74" s="44"/>
      <c r="AB74" s="44"/>
      <c r="AC74" s="44"/>
      <c r="AD74" s="45"/>
      <c r="AE74" s="29">
        <f t="shared" si="3"/>
        <v>0</v>
      </c>
      <c r="AF74" s="46">
        <f t="shared" si="4"/>
        <v>0</v>
      </c>
      <c r="AG74" s="31">
        <f t="shared" si="5"/>
        <v>1</v>
      </c>
      <c r="AH74" s="32"/>
      <c r="AI74" s="32"/>
      <c r="AJ74" s="32"/>
    </row>
    <row r="75">
      <c r="A75" s="41">
        <v>73.0</v>
      </c>
      <c r="B75" s="68" t="s">
        <v>116</v>
      </c>
      <c r="C75" s="54"/>
      <c r="D75" s="54"/>
      <c r="E75" s="54"/>
      <c r="F75" s="54"/>
      <c r="G75" s="54"/>
      <c r="H75" s="54"/>
      <c r="I75" s="54"/>
      <c r="J75" s="54"/>
      <c r="K75" s="53">
        <v>5.0</v>
      </c>
      <c r="L75" s="54"/>
      <c r="M75" s="39"/>
      <c r="N75" s="39"/>
      <c r="O75" s="42"/>
      <c r="P75" s="99"/>
      <c r="Q75" s="42"/>
      <c r="R75" s="42"/>
      <c r="S75" s="42"/>
      <c r="T75" s="39"/>
      <c r="U75" s="39"/>
      <c r="V75" s="39"/>
      <c r="W75" s="39"/>
      <c r="X75" s="39"/>
      <c r="Y75" s="39"/>
      <c r="Z75" s="50"/>
      <c r="AA75" s="44"/>
      <c r="AB75" s="44"/>
      <c r="AC75" s="44"/>
      <c r="AD75" s="45"/>
      <c r="AE75" s="29">
        <f t="shared" si="3"/>
        <v>0</v>
      </c>
      <c r="AF75" s="46">
        <f t="shared" si="4"/>
        <v>0</v>
      </c>
      <c r="AG75" s="31">
        <f t="shared" si="5"/>
        <v>1</v>
      </c>
      <c r="AH75" s="32"/>
      <c r="AI75" s="32"/>
      <c r="AJ75" s="32"/>
    </row>
    <row r="76">
      <c r="A76" s="41">
        <v>74.0</v>
      </c>
      <c r="B76" s="68" t="s">
        <v>117</v>
      </c>
      <c r="C76" s="54"/>
      <c r="D76" s="54"/>
      <c r="E76" s="54"/>
      <c r="F76" s="54"/>
      <c r="G76" s="54"/>
      <c r="H76" s="54"/>
      <c r="I76" s="54"/>
      <c r="J76" s="54"/>
      <c r="K76" s="53">
        <v>5.0</v>
      </c>
      <c r="L76" s="54"/>
      <c r="M76" s="39"/>
      <c r="N76" s="39"/>
      <c r="O76" s="42"/>
      <c r="P76" s="99"/>
      <c r="Q76" s="42"/>
      <c r="R76" s="42"/>
      <c r="S76" s="42"/>
      <c r="T76" s="39"/>
      <c r="U76" s="39"/>
      <c r="V76" s="39"/>
      <c r="W76" s="39"/>
      <c r="X76" s="39"/>
      <c r="Y76" s="39"/>
      <c r="Z76" s="50"/>
      <c r="AA76" s="44"/>
      <c r="AB76" s="44"/>
      <c r="AC76" s="44"/>
      <c r="AD76" s="45"/>
      <c r="AE76" s="29">
        <f t="shared" si="3"/>
        <v>0</v>
      </c>
      <c r="AF76" s="46">
        <f t="shared" si="4"/>
        <v>0</v>
      </c>
      <c r="AG76" s="31">
        <f t="shared" si="5"/>
        <v>1</v>
      </c>
      <c r="AH76" s="32"/>
      <c r="AI76" s="32"/>
      <c r="AJ76" s="32"/>
    </row>
    <row r="77">
      <c r="A77" s="41">
        <v>75.0</v>
      </c>
      <c r="B77" s="68" t="s">
        <v>118</v>
      </c>
      <c r="C77" s="54"/>
      <c r="D77" s="54"/>
      <c r="E77" s="54"/>
      <c r="F77" s="54"/>
      <c r="G77" s="54"/>
      <c r="H77" s="54"/>
      <c r="I77" s="54"/>
      <c r="J77" s="54"/>
      <c r="K77" s="53">
        <v>5.0</v>
      </c>
      <c r="L77" s="54"/>
      <c r="M77" s="39"/>
      <c r="N77" s="39"/>
      <c r="O77" s="42"/>
      <c r="P77" s="99"/>
      <c r="Q77" s="42"/>
      <c r="R77" s="42"/>
      <c r="S77" s="42"/>
      <c r="T77" s="39"/>
      <c r="U77" s="39"/>
      <c r="V77" s="39"/>
      <c r="W77" s="39"/>
      <c r="X77" s="39"/>
      <c r="Y77" s="39"/>
      <c r="Z77" s="50"/>
      <c r="AA77" s="44"/>
      <c r="AB77" s="44"/>
      <c r="AC77" s="44"/>
      <c r="AD77" s="45"/>
      <c r="AE77" s="29">
        <f t="shared" si="3"/>
        <v>0</v>
      </c>
      <c r="AF77" s="46">
        <f t="shared" si="4"/>
        <v>0</v>
      </c>
      <c r="AG77" s="31">
        <f t="shared" si="5"/>
        <v>1</v>
      </c>
      <c r="AH77" s="32"/>
      <c r="AI77" s="32"/>
      <c r="AJ77" s="32"/>
    </row>
    <row r="78">
      <c r="A78" s="41">
        <v>76.0</v>
      </c>
      <c r="B78" s="68" t="s">
        <v>119</v>
      </c>
      <c r="C78" s="54"/>
      <c r="D78" s="54"/>
      <c r="E78" s="54"/>
      <c r="F78" s="54"/>
      <c r="G78" s="54"/>
      <c r="H78" s="54"/>
      <c r="I78" s="54"/>
      <c r="J78" s="54"/>
      <c r="K78" s="53">
        <v>5.0</v>
      </c>
      <c r="L78" s="54"/>
      <c r="M78" s="39"/>
      <c r="N78" s="39"/>
      <c r="O78" s="42"/>
      <c r="P78" s="99"/>
      <c r="Q78" s="42"/>
      <c r="R78" s="42"/>
      <c r="S78" s="42"/>
      <c r="T78" s="39"/>
      <c r="U78" s="39"/>
      <c r="V78" s="39"/>
      <c r="W78" s="39"/>
      <c r="X78" s="39"/>
      <c r="Y78" s="39"/>
      <c r="Z78" s="50"/>
      <c r="AA78" s="44"/>
      <c r="AB78" s="44"/>
      <c r="AC78" s="44"/>
      <c r="AD78" s="45"/>
      <c r="AE78" s="29">
        <f t="shared" si="3"/>
        <v>0</v>
      </c>
      <c r="AF78" s="46">
        <f t="shared" si="4"/>
        <v>0</v>
      </c>
      <c r="AG78" s="31">
        <f t="shared" si="5"/>
        <v>1</v>
      </c>
      <c r="AH78" s="32"/>
      <c r="AI78" s="32"/>
      <c r="AJ78" s="32"/>
    </row>
    <row r="79">
      <c r="A79" s="41">
        <v>77.0</v>
      </c>
      <c r="B79" s="68" t="s">
        <v>120</v>
      </c>
      <c r="C79" s="54"/>
      <c r="D79" s="54"/>
      <c r="E79" s="54"/>
      <c r="F79" s="54"/>
      <c r="G79" s="54"/>
      <c r="H79" s="54"/>
      <c r="I79" s="54"/>
      <c r="J79" s="54"/>
      <c r="K79" s="53">
        <v>5.0</v>
      </c>
      <c r="L79" s="54"/>
      <c r="M79" s="39"/>
      <c r="N79" s="39"/>
      <c r="O79" s="42">
        <v>5.0</v>
      </c>
      <c r="P79" s="99">
        <v>5.0</v>
      </c>
      <c r="Q79" s="42"/>
      <c r="R79" s="42"/>
      <c r="S79" s="42"/>
      <c r="T79" s="39">
        <v>5.0</v>
      </c>
      <c r="U79" s="39">
        <v>5.0</v>
      </c>
      <c r="V79" s="39"/>
      <c r="W79" s="39">
        <v>5.0</v>
      </c>
      <c r="X79" s="39">
        <v>5.0</v>
      </c>
      <c r="Y79" s="39"/>
      <c r="Z79" s="50"/>
      <c r="AA79" s="44"/>
      <c r="AB79" s="44"/>
      <c r="AC79" s="44"/>
      <c r="AD79" s="45"/>
      <c r="AE79" s="29">
        <f t="shared" si="3"/>
        <v>30</v>
      </c>
      <c r="AF79" s="46">
        <f t="shared" si="4"/>
        <v>42.85714286</v>
      </c>
      <c r="AG79" s="31">
        <f t="shared" si="5"/>
        <v>7</v>
      </c>
      <c r="AH79" s="32"/>
      <c r="AI79" s="32"/>
      <c r="AJ79" s="32"/>
    </row>
    <row r="80">
      <c r="A80" s="41">
        <v>78.0</v>
      </c>
      <c r="B80" s="68" t="s">
        <v>121</v>
      </c>
      <c r="C80" s="54"/>
      <c r="D80" s="54"/>
      <c r="E80" s="54"/>
      <c r="F80" s="54"/>
      <c r="G80" s="54"/>
      <c r="H80" s="54"/>
      <c r="I80" s="54"/>
      <c r="J80" s="54"/>
      <c r="K80" s="54"/>
      <c r="L80" s="53">
        <v>5.0</v>
      </c>
      <c r="M80" s="39"/>
      <c r="N80" s="39"/>
      <c r="O80" s="42"/>
      <c r="P80" s="99"/>
      <c r="Q80" s="42"/>
      <c r="R80" s="42"/>
      <c r="S80" s="42">
        <v>5.0</v>
      </c>
      <c r="T80" s="39"/>
      <c r="U80" s="39"/>
      <c r="V80" s="39"/>
      <c r="W80" s="39">
        <v>5.0</v>
      </c>
      <c r="X80" s="39">
        <v>5.0</v>
      </c>
      <c r="Y80" s="39"/>
      <c r="Z80" s="50"/>
      <c r="AA80" s="44"/>
      <c r="AB80" s="44"/>
      <c r="AC80" s="44"/>
      <c r="AD80" s="45"/>
      <c r="AE80" s="29">
        <f t="shared" si="3"/>
        <v>15</v>
      </c>
      <c r="AF80" s="46">
        <f t="shared" si="4"/>
        <v>21.42857143</v>
      </c>
      <c r="AG80" s="31">
        <f t="shared" si="5"/>
        <v>4</v>
      </c>
      <c r="AH80" s="32"/>
      <c r="AI80" s="32"/>
      <c r="AJ80" s="32"/>
    </row>
    <row r="81">
      <c r="A81" s="41">
        <v>79.0</v>
      </c>
      <c r="B81" s="68" t="s">
        <v>122</v>
      </c>
      <c r="C81" s="54"/>
      <c r="D81" s="54"/>
      <c r="E81" s="54"/>
      <c r="F81" s="54"/>
      <c r="G81" s="54"/>
      <c r="H81" s="54"/>
      <c r="I81" s="54"/>
      <c r="J81" s="54"/>
      <c r="K81" s="54"/>
      <c r="L81" s="53">
        <v>5.0</v>
      </c>
      <c r="M81" s="39"/>
      <c r="N81" s="39"/>
      <c r="O81" s="42"/>
      <c r="P81" s="99"/>
      <c r="Q81" s="42"/>
      <c r="R81" s="42"/>
      <c r="S81" s="42"/>
      <c r="T81" s="39"/>
      <c r="U81" s="39"/>
      <c r="V81" s="39"/>
      <c r="W81" s="39"/>
      <c r="X81" s="39"/>
      <c r="Y81" s="39"/>
      <c r="Z81" s="50"/>
      <c r="AA81" s="44"/>
      <c r="AB81" s="44"/>
      <c r="AC81" s="44"/>
      <c r="AD81" s="45"/>
      <c r="AE81" s="29">
        <f t="shared" si="3"/>
        <v>0</v>
      </c>
      <c r="AF81" s="46">
        <f t="shared" si="4"/>
        <v>0</v>
      </c>
      <c r="AG81" s="31">
        <f t="shared" si="5"/>
        <v>1</v>
      </c>
      <c r="AH81" s="32"/>
      <c r="AI81" s="32"/>
      <c r="AJ81" s="32"/>
    </row>
    <row r="82">
      <c r="A82" s="41">
        <v>80.0</v>
      </c>
      <c r="B82" s="68" t="s">
        <v>123</v>
      </c>
      <c r="C82" s="54"/>
      <c r="D82" s="54"/>
      <c r="E82" s="54"/>
      <c r="F82" s="54"/>
      <c r="G82" s="54"/>
      <c r="H82" s="54"/>
      <c r="I82" s="54"/>
      <c r="J82" s="54"/>
      <c r="K82" s="54"/>
      <c r="L82" s="53"/>
      <c r="M82" s="39">
        <v>5.0</v>
      </c>
      <c r="N82" s="39"/>
      <c r="O82" s="42"/>
      <c r="P82" s="99">
        <v>5.0</v>
      </c>
      <c r="Q82" s="42"/>
      <c r="R82" s="42"/>
      <c r="S82" s="42"/>
      <c r="T82" s="39"/>
      <c r="U82" s="39"/>
      <c r="V82" s="39"/>
      <c r="W82" s="39"/>
      <c r="X82" s="39"/>
      <c r="Y82" s="39"/>
      <c r="Z82" s="50"/>
      <c r="AA82" s="44"/>
      <c r="AB82" s="44"/>
      <c r="AC82" s="44"/>
      <c r="AD82" s="45"/>
      <c r="AE82" s="29">
        <f t="shared" si="3"/>
        <v>10</v>
      </c>
      <c r="AF82" s="46">
        <f t="shared" si="4"/>
        <v>14.28571429</v>
      </c>
      <c r="AG82" s="31">
        <f t="shared" si="5"/>
        <v>2</v>
      </c>
      <c r="AH82" s="32"/>
      <c r="AI82" s="32"/>
      <c r="AJ82" s="32"/>
    </row>
    <row r="83">
      <c r="A83" s="41">
        <v>81.0</v>
      </c>
      <c r="B83" s="68" t="s">
        <v>124</v>
      </c>
      <c r="C83" s="54"/>
      <c r="D83" s="54"/>
      <c r="E83" s="54"/>
      <c r="F83" s="54"/>
      <c r="G83" s="54"/>
      <c r="H83" s="54"/>
      <c r="I83" s="54"/>
      <c r="J83" s="103"/>
      <c r="K83" s="103"/>
      <c r="L83" s="103"/>
      <c r="M83" s="42">
        <v>5.0</v>
      </c>
      <c r="N83" s="104"/>
      <c r="O83" s="104"/>
      <c r="P83" s="99"/>
      <c r="Q83" s="42"/>
      <c r="R83" s="42"/>
      <c r="S83" s="42"/>
      <c r="T83" s="39"/>
      <c r="U83" s="39">
        <v>5.0</v>
      </c>
      <c r="V83" s="39"/>
      <c r="W83" s="39"/>
      <c r="X83" s="39"/>
      <c r="Y83" s="39"/>
      <c r="Z83" s="50"/>
      <c r="AA83" s="44"/>
      <c r="AB83" s="44"/>
      <c r="AC83" s="44"/>
      <c r="AD83" s="45"/>
      <c r="AE83" s="29">
        <f t="shared" si="3"/>
        <v>10</v>
      </c>
      <c r="AF83" s="46">
        <f t="shared" si="4"/>
        <v>14.28571429</v>
      </c>
      <c r="AG83" s="31">
        <f t="shared" si="5"/>
        <v>2</v>
      </c>
      <c r="AH83" s="32"/>
      <c r="AI83" s="32"/>
      <c r="AJ83" s="32"/>
    </row>
    <row r="84">
      <c r="A84" s="41">
        <v>82.0</v>
      </c>
      <c r="B84" s="68" t="s">
        <v>125</v>
      </c>
      <c r="C84" s="54"/>
      <c r="D84" s="54"/>
      <c r="E84" s="54"/>
      <c r="F84" s="54"/>
      <c r="G84" s="54"/>
      <c r="H84" s="54"/>
      <c r="I84" s="54"/>
      <c r="J84" s="103"/>
      <c r="K84" s="103"/>
      <c r="L84" s="103"/>
      <c r="M84" s="42">
        <v>5.0</v>
      </c>
      <c r="N84" s="104"/>
      <c r="O84" s="104"/>
      <c r="P84" s="99"/>
      <c r="Q84" s="42"/>
      <c r="R84" s="42"/>
      <c r="S84" s="42"/>
      <c r="T84" s="39"/>
      <c r="U84" s="39"/>
      <c r="V84" s="39"/>
      <c r="W84" s="39"/>
      <c r="X84" s="39"/>
      <c r="Y84" s="39"/>
      <c r="Z84" s="50"/>
      <c r="AA84" s="44"/>
      <c r="AB84" s="44"/>
      <c r="AC84" s="44"/>
      <c r="AD84" s="45"/>
      <c r="AE84" s="29">
        <f t="shared" si="3"/>
        <v>5</v>
      </c>
      <c r="AF84" s="46">
        <f t="shared" si="4"/>
        <v>7.142857143</v>
      </c>
      <c r="AG84" s="31">
        <f t="shared" si="5"/>
        <v>1</v>
      </c>
      <c r="AH84" s="32"/>
      <c r="AI84" s="32"/>
      <c r="AJ84" s="32"/>
    </row>
    <row r="85">
      <c r="A85" s="41">
        <v>83.0</v>
      </c>
      <c r="B85" s="68" t="s">
        <v>126</v>
      </c>
      <c r="C85" s="54"/>
      <c r="D85" s="54"/>
      <c r="E85" s="54"/>
      <c r="F85" s="54"/>
      <c r="G85" s="54"/>
      <c r="H85" s="54"/>
      <c r="I85" s="54"/>
      <c r="J85" s="103"/>
      <c r="K85" s="103"/>
      <c r="L85" s="103"/>
      <c r="M85" s="42">
        <v>5.0</v>
      </c>
      <c r="N85" s="104"/>
      <c r="O85" s="104"/>
      <c r="P85" s="99"/>
      <c r="Q85" s="42"/>
      <c r="R85" s="42"/>
      <c r="S85" s="42"/>
      <c r="T85" s="39"/>
      <c r="U85" s="39"/>
      <c r="V85" s="39"/>
      <c r="W85" s="39"/>
      <c r="X85" s="39"/>
      <c r="Y85" s="39"/>
      <c r="Z85" s="50"/>
      <c r="AA85" s="44"/>
      <c r="AB85" s="44"/>
      <c r="AC85" s="44"/>
      <c r="AD85" s="45"/>
      <c r="AE85" s="29">
        <f t="shared" si="3"/>
        <v>5</v>
      </c>
      <c r="AF85" s="46">
        <f t="shared" si="4"/>
        <v>7.142857143</v>
      </c>
      <c r="AG85" s="31">
        <f t="shared" si="5"/>
        <v>1</v>
      </c>
      <c r="AH85" s="32"/>
      <c r="AI85" s="32"/>
      <c r="AJ85" s="32"/>
    </row>
    <row r="86">
      <c r="A86" s="41">
        <v>84.0</v>
      </c>
      <c r="B86" s="68" t="s">
        <v>127</v>
      </c>
      <c r="C86" s="54"/>
      <c r="D86" s="54"/>
      <c r="E86" s="54"/>
      <c r="F86" s="54"/>
      <c r="G86" s="54"/>
      <c r="H86" s="54"/>
      <c r="I86" s="54"/>
      <c r="J86" s="103"/>
      <c r="K86" s="103"/>
      <c r="L86" s="103"/>
      <c r="M86" s="42">
        <v>5.0</v>
      </c>
      <c r="N86" s="104"/>
      <c r="O86" s="104"/>
      <c r="P86" s="99"/>
      <c r="Q86" s="42"/>
      <c r="R86" s="42"/>
      <c r="S86" s="42"/>
      <c r="T86" s="39"/>
      <c r="U86" s="39"/>
      <c r="V86" s="39"/>
      <c r="W86" s="39"/>
      <c r="X86" s="39"/>
      <c r="Y86" s="39"/>
      <c r="Z86" s="50"/>
      <c r="AA86" s="44"/>
      <c r="AB86" s="44"/>
      <c r="AC86" s="44"/>
      <c r="AD86" s="45"/>
      <c r="AE86" s="29">
        <f t="shared" si="3"/>
        <v>5</v>
      </c>
      <c r="AF86" s="46">
        <f t="shared" si="4"/>
        <v>7.142857143</v>
      </c>
      <c r="AG86" s="31">
        <f t="shared" si="5"/>
        <v>1</v>
      </c>
      <c r="AH86" s="32"/>
      <c r="AI86" s="32"/>
      <c r="AJ86" s="32"/>
    </row>
    <row r="87">
      <c r="A87" s="41">
        <v>85.0</v>
      </c>
      <c r="B87" s="68" t="s">
        <v>128</v>
      </c>
      <c r="C87" s="54"/>
      <c r="D87" s="54"/>
      <c r="E87" s="54"/>
      <c r="F87" s="54"/>
      <c r="G87" s="54"/>
      <c r="H87" s="54"/>
      <c r="I87" s="54"/>
      <c r="J87" s="103"/>
      <c r="K87" s="103"/>
      <c r="L87" s="103"/>
      <c r="M87" s="42">
        <v>5.0</v>
      </c>
      <c r="N87" s="104"/>
      <c r="O87" s="104"/>
      <c r="P87" s="99">
        <v>5.0</v>
      </c>
      <c r="Q87" s="42">
        <v>5.0</v>
      </c>
      <c r="R87" s="42">
        <v>10.0</v>
      </c>
      <c r="S87" s="42"/>
      <c r="T87" s="39">
        <v>5.0</v>
      </c>
      <c r="U87" s="39">
        <v>5.0</v>
      </c>
      <c r="V87" s="39">
        <v>5.0</v>
      </c>
      <c r="W87" s="39"/>
      <c r="X87" s="39"/>
      <c r="Y87" s="39"/>
      <c r="Z87" s="50">
        <v>5.0</v>
      </c>
      <c r="AA87" s="44"/>
      <c r="AB87" s="44"/>
      <c r="AC87" s="44"/>
      <c r="AD87" s="45"/>
      <c r="AE87" s="29">
        <f t="shared" si="3"/>
        <v>45</v>
      </c>
      <c r="AF87" s="46">
        <f t="shared" si="4"/>
        <v>64.28571429</v>
      </c>
      <c r="AG87" s="31">
        <f t="shared" si="5"/>
        <v>8</v>
      </c>
      <c r="AH87" s="32"/>
      <c r="AI87" s="32"/>
      <c r="AJ87" s="32"/>
    </row>
    <row r="88">
      <c r="A88" s="41">
        <v>86.0</v>
      </c>
      <c r="B88" s="68" t="s">
        <v>129</v>
      </c>
      <c r="C88" s="54"/>
      <c r="D88" s="54"/>
      <c r="E88" s="54"/>
      <c r="F88" s="54"/>
      <c r="G88" s="54"/>
      <c r="H88" s="54"/>
      <c r="I88" s="54"/>
      <c r="J88" s="103"/>
      <c r="K88" s="103"/>
      <c r="L88" s="103"/>
      <c r="M88" s="42">
        <v>5.0</v>
      </c>
      <c r="N88" s="104"/>
      <c r="O88" s="104"/>
      <c r="P88" s="99"/>
      <c r="Q88" s="42"/>
      <c r="R88" s="42"/>
      <c r="S88" s="42"/>
      <c r="T88" s="39"/>
      <c r="U88" s="39"/>
      <c r="V88" s="39"/>
      <c r="W88" s="39"/>
      <c r="X88" s="39"/>
      <c r="Y88" s="39"/>
      <c r="Z88" s="50">
        <v>5.0</v>
      </c>
      <c r="AA88" s="44"/>
      <c r="AB88" s="44"/>
      <c r="AC88" s="44"/>
      <c r="AD88" s="45"/>
      <c r="AE88" s="29">
        <f t="shared" si="3"/>
        <v>10</v>
      </c>
      <c r="AF88" s="46">
        <f t="shared" si="4"/>
        <v>14.28571429</v>
      </c>
      <c r="AG88" s="31">
        <f t="shared" si="5"/>
        <v>2</v>
      </c>
      <c r="AH88" s="32"/>
      <c r="AI88" s="32"/>
      <c r="AJ88" s="32"/>
    </row>
    <row r="89">
      <c r="A89" s="41">
        <v>87.0</v>
      </c>
      <c r="B89" s="68" t="s">
        <v>130</v>
      </c>
      <c r="C89" s="54"/>
      <c r="D89" s="54"/>
      <c r="E89" s="54"/>
      <c r="F89" s="54"/>
      <c r="G89" s="54"/>
      <c r="H89" s="54"/>
      <c r="I89" s="54"/>
      <c r="J89" s="103"/>
      <c r="K89" s="103"/>
      <c r="L89" s="103"/>
      <c r="M89" s="42">
        <v>5.0</v>
      </c>
      <c r="N89" s="104"/>
      <c r="O89" s="104"/>
      <c r="P89" s="99"/>
      <c r="Q89" s="42"/>
      <c r="R89" s="42"/>
      <c r="S89" s="42"/>
      <c r="T89" s="39"/>
      <c r="U89" s="39"/>
      <c r="V89" s="39"/>
      <c r="W89" s="39"/>
      <c r="X89" s="39"/>
      <c r="Y89" s="39"/>
      <c r="Z89" s="50"/>
      <c r="AA89" s="44"/>
      <c r="AB89" s="44"/>
      <c r="AC89" s="44"/>
      <c r="AD89" s="45"/>
      <c r="AE89" s="29">
        <f t="shared" si="3"/>
        <v>5</v>
      </c>
      <c r="AF89" s="46">
        <f t="shared" si="4"/>
        <v>7.142857143</v>
      </c>
      <c r="AG89" s="31">
        <f t="shared" si="5"/>
        <v>1</v>
      </c>
      <c r="AH89" s="32"/>
      <c r="AI89" s="32"/>
      <c r="AJ89" s="32"/>
    </row>
    <row r="90">
      <c r="A90" s="41">
        <v>88.0</v>
      </c>
      <c r="B90" s="68" t="s">
        <v>131</v>
      </c>
      <c r="C90" s="54"/>
      <c r="D90" s="54"/>
      <c r="E90" s="54"/>
      <c r="F90" s="54"/>
      <c r="G90" s="54"/>
      <c r="H90" s="54"/>
      <c r="I90" s="54"/>
      <c r="J90" s="103"/>
      <c r="K90" s="103"/>
      <c r="L90" s="103"/>
      <c r="M90" s="42">
        <v>5.0</v>
      </c>
      <c r="N90" s="104"/>
      <c r="O90" s="104"/>
      <c r="P90" s="99"/>
      <c r="Q90" s="42"/>
      <c r="R90" s="42"/>
      <c r="S90" s="42"/>
      <c r="T90" s="39"/>
      <c r="U90" s="39"/>
      <c r="V90" s="39"/>
      <c r="W90" s="39"/>
      <c r="X90" s="39"/>
      <c r="Y90" s="39"/>
      <c r="Z90" s="50"/>
      <c r="AA90" s="44"/>
      <c r="AB90" s="44"/>
      <c r="AC90" s="44"/>
      <c r="AD90" s="45"/>
      <c r="AE90" s="29">
        <f t="shared" si="3"/>
        <v>5</v>
      </c>
      <c r="AF90" s="46">
        <f t="shared" si="4"/>
        <v>7.142857143</v>
      </c>
      <c r="AG90" s="31">
        <f t="shared" si="5"/>
        <v>1</v>
      </c>
      <c r="AH90" s="32"/>
      <c r="AI90" s="32"/>
      <c r="AJ90" s="32"/>
    </row>
    <row r="91">
      <c r="A91" s="41">
        <v>89.0</v>
      </c>
      <c r="B91" s="68" t="s">
        <v>132</v>
      </c>
      <c r="C91" s="54"/>
      <c r="D91" s="54"/>
      <c r="E91" s="54"/>
      <c r="F91" s="54"/>
      <c r="G91" s="54"/>
      <c r="H91" s="54"/>
      <c r="I91" s="54"/>
      <c r="J91" s="103"/>
      <c r="K91" s="103"/>
      <c r="L91" s="103"/>
      <c r="M91" s="104"/>
      <c r="N91" s="42">
        <v>5.0</v>
      </c>
      <c r="O91" s="42"/>
      <c r="P91" s="99"/>
      <c r="Q91" s="42"/>
      <c r="R91" s="42"/>
      <c r="S91" s="42"/>
      <c r="T91" s="39"/>
      <c r="U91" s="39"/>
      <c r="V91" s="39"/>
      <c r="W91" s="39"/>
      <c r="X91" s="39"/>
      <c r="Y91" s="39"/>
      <c r="Z91" s="50"/>
      <c r="AA91" s="44"/>
      <c r="AB91" s="44"/>
      <c r="AC91" s="44"/>
      <c r="AD91" s="45"/>
      <c r="AE91" s="29">
        <f t="shared" si="3"/>
        <v>5</v>
      </c>
      <c r="AF91" s="46">
        <f t="shared" si="4"/>
        <v>7.142857143</v>
      </c>
      <c r="AG91" s="31">
        <f t="shared" si="5"/>
        <v>1</v>
      </c>
      <c r="AH91" s="32"/>
      <c r="AI91" s="32"/>
      <c r="AJ91" s="32"/>
    </row>
    <row r="92">
      <c r="A92" s="41">
        <v>90.0</v>
      </c>
      <c r="B92" s="68" t="s">
        <v>133</v>
      </c>
      <c r="C92" s="54"/>
      <c r="D92" s="54"/>
      <c r="E92" s="54"/>
      <c r="F92" s="54"/>
      <c r="G92" s="54"/>
      <c r="H92" s="54"/>
      <c r="I92" s="54"/>
      <c r="J92" s="103"/>
      <c r="K92" s="103"/>
      <c r="L92" s="103"/>
      <c r="M92" s="104"/>
      <c r="N92" s="104"/>
      <c r="O92" s="42">
        <v>5.0</v>
      </c>
      <c r="P92" s="99"/>
      <c r="Q92" s="42"/>
      <c r="R92" s="42"/>
      <c r="S92" s="42"/>
      <c r="T92" s="39"/>
      <c r="U92" s="39"/>
      <c r="V92" s="39"/>
      <c r="W92" s="39"/>
      <c r="X92" s="39"/>
      <c r="Y92" s="39"/>
      <c r="Z92" s="50"/>
      <c r="AA92" s="44"/>
      <c r="AB92" s="44"/>
      <c r="AC92" s="44"/>
      <c r="AD92" s="45"/>
      <c r="AE92" s="29">
        <f t="shared" si="3"/>
        <v>5</v>
      </c>
      <c r="AF92" s="46">
        <f t="shared" si="4"/>
        <v>7.142857143</v>
      </c>
      <c r="AG92" s="31">
        <f t="shared" si="5"/>
        <v>1</v>
      </c>
      <c r="AH92" s="32"/>
      <c r="AI92" s="32"/>
      <c r="AJ92" s="32"/>
    </row>
    <row r="93">
      <c r="A93" s="41">
        <v>91.0</v>
      </c>
      <c r="B93" s="68" t="s">
        <v>134</v>
      </c>
      <c r="C93" s="54"/>
      <c r="D93" s="54"/>
      <c r="E93" s="54"/>
      <c r="F93" s="54"/>
      <c r="G93" s="54"/>
      <c r="H93" s="54"/>
      <c r="I93" s="54"/>
      <c r="J93" s="103"/>
      <c r="K93" s="103"/>
      <c r="L93" s="103"/>
      <c r="M93" s="104"/>
      <c r="N93" s="104"/>
      <c r="O93" s="42">
        <v>5.0</v>
      </c>
      <c r="P93" s="99">
        <v>5.0</v>
      </c>
      <c r="Q93" s="42">
        <v>5.0</v>
      </c>
      <c r="R93" s="42"/>
      <c r="S93" s="42">
        <v>5.0</v>
      </c>
      <c r="T93" s="39"/>
      <c r="U93" s="39">
        <v>5.0</v>
      </c>
      <c r="V93" s="39"/>
      <c r="W93" s="39">
        <v>5.0</v>
      </c>
      <c r="X93" s="39"/>
      <c r="Y93" s="39"/>
      <c r="Z93" s="50"/>
      <c r="AA93" s="44"/>
      <c r="AB93" s="44"/>
      <c r="AC93" s="44"/>
      <c r="AD93" s="45"/>
      <c r="AE93" s="29">
        <f t="shared" si="3"/>
        <v>30</v>
      </c>
      <c r="AF93" s="46">
        <f t="shared" si="4"/>
        <v>42.85714286</v>
      </c>
      <c r="AG93" s="31">
        <f t="shared" si="5"/>
        <v>6</v>
      </c>
      <c r="AH93" s="32"/>
      <c r="AI93" s="32"/>
      <c r="AJ93" s="32"/>
    </row>
    <row r="94">
      <c r="A94" s="39">
        <v>92.0</v>
      </c>
      <c r="B94" s="105" t="s">
        <v>135</v>
      </c>
      <c r="C94" s="54"/>
      <c r="D94" s="54"/>
      <c r="E94" s="54"/>
      <c r="F94" s="54"/>
      <c r="G94" s="54"/>
      <c r="H94" s="54"/>
      <c r="I94" s="54"/>
      <c r="J94" s="103"/>
      <c r="K94" s="103"/>
      <c r="L94" s="103"/>
      <c r="M94" s="104"/>
      <c r="N94" s="104"/>
      <c r="O94" s="104"/>
      <c r="P94" s="99">
        <v>5.0</v>
      </c>
      <c r="Q94" s="104"/>
      <c r="R94" s="104"/>
      <c r="S94" s="104"/>
      <c r="T94" s="39"/>
      <c r="U94" s="39"/>
      <c r="V94" s="39"/>
      <c r="W94" s="39"/>
      <c r="X94" s="39"/>
      <c r="Y94" s="39"/>
      <c r="Z94" s="50"/>
      <c r="AA94" s="44"/>
      <c r="AB94" s="44"/>
      <c r="AC94" s="44"/>
      <c r="AD94" s="45"/>
      <c r="AE94" s="29">
        <f t="shared" si="3"/>
        <v>5</v>
      </c>
      <c r="AF94" s="46">
        <f t="shared" si="4"/>
        <v>7.142857143</v>
      </c>
      <c r="AG94" s="31">
        <f t="shared" si="5"/>
        <v>1</v>
      </c>
      <c r="AH94" s="32"/>
      <c r="AI94" s="32"/>
      <c r="AJ94" s="32"/>
    </row>
    <row r="95">
      <c r="A95" s="39">
        <v>93.0</v>
      </c>
      <c r="B95" s="106" t="s">
        <v>136</v>
      </c>
      <c r="C95" s="54"/>
      <c r="D95" s="54"/>
      <c r="E95" s="54"/>
      <c r="F95" s="54"/>
      <c r="G95" s="54"/>
      <c r="H95" s="54"/>
      <c r="I95" s="54"/>
      <c r="J95" s="103"/>
      <c r="K95" s="103"/>
      <c r="L95" s="103"/>
      <c r="M95" s="104"/>
      <c r="N95" s="104"/>
      <c r="O95" s="104"/>
      <c r="P95" s="99">
        <v>5.0</v>
      </c>
      <c r="Q95" s="104"/>
      <c r="R95" s="104"/>
      <c r="S95" s="104"/>
      <c r="T95" s="39"/>
      <c r="U95" s="39"/>
      <c r="V95" s="39"/>
      <c r="W95" s="39"/>
      <c r="X95" s="39"/>
      <c r="Y95" s="39"/>
      <c r="Z95" s="50"/>
      <c r="AA95" s="44"/>
      <c r="AB95" s="44"/>
      <c r="AC95" s="44"/>
      <c r="AD95" s="45"/>
      <c r="AE95" s="29">
        <f t="shared" si="3"/>
        <v>5</v>
      </c>
      <c r="AF95" s="46">
        <f t="shared" si="4"/>
        <v>7.142857143</v>
      </c>
      <c r="AG95" s="31">
        <f t="shared" si="5"/>
        <v>1</v>
      </c>
      <c r="AH95" s="32"/>
      <c r="AI95" s="32"/>
      <c r="AJ95" s="32"/>
    </row>
    <row r="96">
      <c r="A96" s="39">
        <v>94.0</v>
      </c>
      <c r="B96" s="107" t="s">
        <v>137</v>
      </c>
      <c r="C96" s="54"/>
      <c r="D96" s="54"/>
      <c r="E96" s="54"/>
      <c r="F96" s="54"/>
      <c r="G96" s="54"/>
      <c r="H96" s="54"/>
      <c r="I96" s="54"/>
      <c r="J96" s="103"/>
      <c r="K96" s="103"/>
      <c r="L96" s="103"/>
      <c r="M96" s="104"/>
      <c r="N96" s="104"/>
      <c r="O96" s="104"/>
      <c r="P96" s="99">
        <v>5.0</v>
      </c>
      <c r="Q96" s="104"/>
      <c r="R96" s="104"/>
      <c r="S96" s="104"/>
      <c r="T96" s="39"/>
      <c r="U96" s="39"/>
      <c r="V96" s="39"/>
      <c r="W96" s="39"/>
      <c r="X96" s="39"/>
      <c r="Y96" s="39"/>
      <c r="Z96" s="50"/>
      <c r="AA96" s="44"/>
      <c r="AB96" s="44"/>
      <c r="AC96" s="44"/>
      <c r="AD96" s="45"/>
      <c r="AE96" s="29">
        <f t="shared" si="3"/>
        <v>5</v>
      </c>
      <c r="AF96" s="46">
        <f t="shared" si="4"/>
        <v>7.142857143</v>
      </c>
      <c r="AG96" s="31">
        <f t="shared" si="5"/>
        <v>1</v>
      </c>
      <c r="AH96" s="32"/>
      <c r="AI96" s="32"/>
      <c r="AJ96" s="32"/>
    </row>
    <row r="97">
      <c r="A97" s="39">
        <v>95.0</v>
      </c>
      <c r="B97" s="106" t="s">
        <v>138</v>
      </c>
      <c r="C97" s="54"/>
      <c r="D97" s="54"/>
      <c r="E97" s="54"/>
      <c r="F97" s="54"/>
      <c r="G97" s="54"/>
      <c r="H97" s="54"/>
      <c r="I97" s="54"/>
      <c r="J97" s="103"/>
      <c r="K97" s="103"/>
      <c r="L97" s="103"/>
      <c r="M97" s="104"/>
      <c r="N97" s="104"/>
      <c r="O97" s="104"/>
      <c r="P97" s="99">
        <v>5.0</v>
      </c>
      <c r="Q97" s="104"/>
      <c r="R97" s="104"/>
      <c r="S97" s="104"/>
      <c r="T97" s="39"/>
      <c r="U97" s="39"/>
      <c r="V97" s="39"/>
      <c r="W97" s="39"/>
      <c r="X97" s="39"/>
      <c r="Y97" s="39"/>
      <c r="Z97" s="50"/>
      <c r="AA97" s="44"/>
      <c r="AB97" s="44"/>
      <c r="AC97" s="44"/>
      <c r="AD97" s="45"/>
      <c r="AE97" s="29">
        <f t="shared" si="3"/>
        <v>5</v>
      </c>
      <c r="AF97" s="46">
        <f t="shared" si="4"/>
        <v>7.142857143</v>
      </c>
      <c r="AG97" s="31">
        <f t="shared" si="5"/>
        <v>1</v>
      </c>
      <c r="AH97" s="32"/>
      <c r="AI97" s="32"/>
      <c r="AJ97" s="32"/>
    </row>
    <row r="98">
      <c r="A98" s="39">
        <v>96.0</v>
      </c>
      <c r="B98" s="107" t="s">
        <v>139</v>
      </c>
      <c r="C98" s="54"/>
      <c r="D98" s="54"/>
      <c r="E98" s="54"/>
      <c r="F98" s="54"/>
      <c r="G98" s="54"/>
      <c r="H98" s="54"/>
      <c r="I98" s="54"/>
      <c r="J98" s="103"/>
      <c r="K98" s="103"/>
      <c r="L98" s="103"/>
      <c r="M98" s="104"/>
      <c r="N98" s="104"/>
      <c r="O98" s="104"/>
      <c r="P98" s="99">
        <v>5.0</v>
      </c>
      <c r="Q98" s="104"/>
      <c r="R98" s="104"/>
      <c r="S98" s="104"/>
      <c r="T98" s="39"/>
      <c r="U98" s="39"/>
      <c r="V98" s="39"/>
      <c r="W98" s="39"/>
      <c r="X98" s="39"/>
      <c r="Y98" s="39"/>
      <c r="Z98" s="50"/>
      <c r="AA98" s="44"/>
      <c r="AB98" s="44"/>
      <c r="AC98" s="44"/>
      <c r="AD98" s="45"/>
      <c r="AE98" s="29">
        <f t="shared" si="3"/>
        <v>5</v>
      </c>
      <c r="AF98" s="46">
        <f t="shared" si="4"/>
        <v>7.142857143</v>
      </c>
      <c r="AG98" s="31">
        <f t="shared" si="5"/>
        <v>1</v>
      </c>
      <c r="AH98" s="32"/>
      <c r="AI98" s="32"/>
      <c r="AJ98" s="32"/>
    </row>
    <row r="99">
      <c r="A99" s="39">
        <v>97.0</v>
      </c>
      <c r="B99" s="106" t="s">
        <v>140</v>
      </c>
      <c r="C99" s="54"/>
      <c r="D99" s="54"/>
      <c r="E99" s="54"/>
      <c r="F99" s="54"/>
      <c r="G99" s="54"/>
      <c r="H99" s="54"/>
      <c r="I99" s="54"/>
      <c r="J99" s="103"/>
      <c r="K99" s="103"/>
      <c r="L99" s="103"/>
      <c r="M99" s="104"/>
      <c r="N99" s="104"/>
      <c r="O99" s="104"/>
      <c r="P99" s="99">
        <v>5.0</v>
      </c>
      <c r="Q99" s="104"/>
      <c r="R99" s="104"/>
      <c r="S99" s="104"/>
      <c r="T99" s="39"/>
      <c r="U99" s="39"/>
      <c r="V99" s="39"/>
      <c r="W99" s="39"/>
      <c r="X99" s="39"/>
      <c r="Y99" s="39"/>
      <c r="Z99" s="50"/>
      <c r="AA99" s="44"/>
      <c r="AB99" s="44"/>
      <c r="AC99" s="44"/>
      <c r="AD99" s="45"/>
      <c r="AE99" s="29">
        <f t="shared" si="3"/>
        <v>5</v>
      </c>
      <c r="AF99" s="46">
        <f t="shared" si="4"/>
        <v>7.142857143</v>
      </c>
      <c r="AG99" s="31">
        <f t="shared" si="5"/>
        <v>1</v>
      </c>
      <c r="AH99" s="32"/>
      <c r="AI99" s="32"/>
      <c r="AJ99" s="32"/>
    </row>
    <row r="100">
      <c r="A100" s="39">
        <v>98.0</v>
      </c>
      <c r="B100" s="108" t="s">
        <v>141</v>
      </c>
      <c r="C100" s="54"/>
      <c r="D100" s="54"/>
      <c r="E100" s="54"/>
      <c r="F100" s="54"/>
      <c r="G100" s="54"/>
      <c r="H100" s="54"/>
      <c r="I100" s="54"/>
      <c r="J100" s="103"/>
      <c r="K100" s="103"/>
      <c r="L100" s="103"/>
      <c r="M100" s="104"/>
      <c r="N100" s="104"/>
      <c r="O100" s="104"/>
      <c r="P100" s="99">
        <v>5.0</v>
      </c>
      <c r="Q100" s="104"/>
      <c r="R100" s="104"/>
      <c r="S100" s="104"/>
      <c r="T100" s="39"/>
      <c r="U100" s="39"/>
      <c r="V100" s="39"/>
      <c r="W100" s="39"/>
      <c r="X100" s="39"/>
      <c r="Y100" s="39"/>
      <c r="Z100" s="50"/>
      <c r="AA100" s="44"/>
      <c r="AB100" s="44"/>
      <c r="AC100" s="44"/>
      <c r="AD100" s="45"/>
      <c r="AE100" s="29">
        <f t="shared" si="3"/>
        <v>5</v>
      </c>
      <c r="AF100" s="46">
        <f t="shared" si="4"/>
        <v>7.142857143</v>
      </c>
      <c r="AG100" s="31">
        <f t="shared" si="5"/>
        <v>1</v>
      </c>
      <c r="AH100" s="32"/>
      <c r="AI100" s="32"/>
      <c r="AJ100" s="32"/>
    </row>
    <row r="101">
      <c r="A101" s="39">
        <v>99.0</v>
      </c>
      <c r="B101" s="107" t="s">
        <v>142</v>
      </c>
      <c r="C101" s="54"/>
      <c r="D101" s="54"/>
      <c r="E101" s="54"/>
      <c r="F101" s="54"/>
      <c r="G101" s="54"/>
      <c r="H101" s="54"/>
      <c r="I101" s="54"/>
      <c r="J101" s="103"/>
      <c r="K101" s="103"/>
      <c r="L101" s="103"/>
      <c r="M101" s="104"/>
      <c r="N101" s="104"/>
      <c r="O101" s="104"/>
      <c r="P101" s="99">
        <v>5.0</v>
      </c>
      <c r="Q101" s="42">
        <v>5.0</v>
      </c>
      <c r="R101" s="104"/>
      <c r="S101" s="42">
        <v>5.0</v>
      </c>
      <c r="T101" s="39"/>
      <c r="U101" s="39">
        <v>5.0</v>
      </c>
      <c r="V101" s="39"/>
      <c r="W101" s="39"/>
      <c r="X101" s="39">
        <v>5.0</v>
      </c>
      <c r="Y101" s="39"/>
      <c r="Z101" s="50"/>
      <c r="AA101" s="44"/>
      <c r="AB101" s="44"/>
      <c r="AC101" s="44"/>
      <c r="AD101" s="45"/>
      <c r="AE101" s="29">
        <f t="shared" si="3"/>
        <v>25</v>
      </c>
      <c r="AF101" s="46">
        <f t="shared" si="4"/>
        <v>35.71428571</v>
      </c>
      <c r="AG101" s="31">
        <f t="shared" si="5"/>
        <v>5</v>
      </c>
      <c r="AH101" s="32"/>
      <c r="AI101" s="32"/>
      <c r="AJ101" s="32"/>
    </row>
    <row r="102">
      <c r="A102" s="39">
        <v>100.0</v>
      </c>
      <c r="B102" s="106" t="s">
        <v>143</v>
      </c>
      <c r="C102" s="54"/>
      <c r="D102" s="54"/>
      <c r="E102" s="54"/>
      <c r="F102" s="54"/>
      <c r="G102" s="54"/>
      <c r="H102" s="54"/>
      <c r="I102" s="54"/>
      <c r="J102" s="103"/>
      <c r="K102" s="103"/>
      <c r="L102" s="103"/>
      <c r="M102" s="104"/>
      <c r="N102" s="104"/>
      <c r="O102" s="104"/>
      <c r="P102" s="99">
        <v>5.0</v>
      </c>
      <c r="Q102" s="104"/>
      <c r="R102" s="104"/>
      <c r="S102" s="104"/>
      <c r="T102" s="39"/>
      <c r="U102" s="39"/>
      <c r="V102" s="39"/>
      <c r="W102" s="39"/>
      <c r="X102" s="39"/>
      <c r="Y102" s="39"/>
      <c r="Z102" s="50"/>
      <c r="AA102" s="44"/>
      <c r="AB102" s="44"/>
      <c r="AC102" s="44"/>
      <c r="AD102" s="45"/>
      <c r="AE102" s="29">
        <f t="shared" si="3"/>
        <v>5</v>
      </c>
      <c r="AF102" s="46">
        <f t="shared" si="4"/>
        <v>7.142857143</v>
      </c>
      <c r="AG102" s="31">
        <f t="shared" si="5"/>
        <v>1</v>
      </c>
      <c r="AH102" s="32"/>
      <c r="AI102" s="32"/>
      <c r="AJ102" s="32"/>
    </row>
    <row r="103">
      <c r="A103" s="39">
        <v>101.0</v>
      </c>
      <c r="B103" s="107" t="s">
        <v>65</v>
      </c>
      <c r="C103" s="54"/>
      <c r="D103" s="54"/>
      <c r="E103" s="54"/>
      <c r="F103" s="54"/>
      <c r="G103" s="54"/>
      <c r="H103" s="54"/>
      <c r="I103" s="54"/>
      <c r="J103" s="103"/>
      <c r="K103" s="103"/>
      <c r="L103" s="103"/>
      <c r="M103" s="104"/>
      <c r="N103" s="104"/>
      <c r="O103" s="104"/>
      <c r="P103" s="99">
        <v>5.0</v>
      </c>
      <c r="Q103" s="104"/>
      <c r="R103" s="104"/>
      <c r="S103" s="104"/>
      <c r="T103" s="39"/>
      <c r="U103" s="39"/>
      <c r="V103" s="39"/>
      <c r="W103" s="39"/>
      <c r="X103" s="39"/>
      <c r="Y103" s="39"/>
      <c r="Z103" s="50"/>
      <c r="AA103" s="44"/>
      <c r="AB103" s="44"/>
      <c r="AC103" s="44"/>
      <c r="AD103" s="45"/>
      <c r="AE103" s="29">
        <f t="shared" si="3"/>
        <v>5</v>
      </c>
      <c r="AF103" s="46">
        <f t="shared" si="4"/>
        <v>7.142857143</v>
      </c>
      <c r="AG103" s="31">
        <f t="shared" si="5"/>
        <v>1</v>
      </c>
      <c r="AH103" s="32"/>
      <c r="AI103" s="32"/>
      <c r="AJ103" s="32"/>
    </row>
    <row r="104">
      <c r="A104" s="39">
        <v>102.0</v>
      </c>
      <c r="B104" s="106" t="s">
        <v>144</v>
      </c>
      <c r="C104" s="54"/>
      <c r="D104" s="54"/>
      <c r="E104" s="54"/>
      <c r="F104" s="54"/>
      <c r="G104" s="54"/>
      <c r="H104" s="54"/>
      <c r="I104" s="54"/>
      <c r="J104" s="103"/>
      <c r="K104" s="103"/>
      <c r="L104" s="103"/>
      <c r="M104" s="104"/>
      <c r="N104" s="104"/>
      <c r="O104" s="104"/>
      <c r="P104" s="99">
        <v>5.0</v>
      </c>
      <c r="Q104" s="104"/>
      <c r="R104" s="104"/>
      <c r="S104" s="104"/>
      <c r="T104" s="39"/>
      <c r="U104" s="39"/>
      <c r="V104" s="39"/>
      <c r="W104" s="39"/>
      <c r="X104" s="39"/>
      <c r="Y104" s="39"/>
      <c r="Z104" s="50"/>
      <c r="AA104" s="44"/>
      <c r="AB104" s="44"/>
      <c r="AC104" s="44"/>
      <c r="AD104" s="45"/>
      <c r="AE104" s="29">
        <f t="shared" si="3"/>
        <v>5</v>
      </c>
      <c r="AF104" s="46">
        <f t="shared" si="4"/>
        <v>7.142857143</v>
      </c>
      <c r="AG104" s="31">
        <f t="shared" si="5"/>
        <v>1</v>
      </c>
      <c r="AH104" s="32"/>
      <c r="AI104" s="32"/>
      <c r="AJ104" s="32"/>
    </row>
    <row r="105">
      <c r="A105" s="39">
        <v>103.0</v>
      </c>
      <c r="B105" s="108" t="s">
        <v>145</v>
      </c>
      <c r="C105" s="54"/>
      <c r="D105" s="54"/>
      <c r="E105" s="54"/>
      <c r="F105" s="54"/>
      <c r="G105" s="54"/>
      <c r="H105" s="54"/>
      <c r="I105" s="54"/>
      <c r="J105" s="103"/>
      <c r="K105" s="103"/>
      <c r="L105" s="103"/>
      <c r="M105" s="104"/>
      <c r="N105" s="104"/>
      <c r="O105" s="104"/>
      <c r="P105" s="99">
        <v>5.0</v>
      </c>
      <c r="Q105" s="104"/>
      <c r="R105" s="104"/>
      <c r="S105" s="104"/>
      <c r="T105" s="39"/>
      <c r="U105" s="39"/>
      <c r="V105" s="39"/>
      <c r="W105" s="39"/>
      <c r="X105" s="39"/>
      <c r="Y105" s="39"/>
      <c r="Z105" s="50"/>
      <c r="AA105" s="44"/>
      <c r="AB105" s="44"/>
      <c r="AC105" s="44"/>
      <c r="AD105" s="45"/>
      <c r="AE105" s="29">
        <f t="shared" si="3"/>
        <v>5</v>
      </c>
      <c r="AF105" s="46">
        <f t="shared" si="4"/>
        <v>7.142857143</v>
      </c>
      <c r="AG105" s="31">
        <f t="shared" si="5"/>
        <v>1</v>
      </c>
      <c r="AH105" s="32"/>
      <c r="AI105" s="32"/>
      <c r="AJ105" s="32"/>
    </row>
    <row r="106">
      <c r="A106" s="39">
        <v>104.0</v>
      </c>
      <c r="B106" s="106" t="s">
        <v>146</v>
      </c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10"/>
      <c r="N106" s="110"/>
      <c r="O106" s="110"/>
      <c r="P106" s="111">
        <v>5.0</v>
      </c>
      <c r="Q106" s="110"/>
      <c r="R106" s="112"/>
      <c r="S106" s="110"/>
      <c r="T106" s="39"/>
      <c r="U106" s="39"/>
      <c r="V106" s="39"/>
      <c r="W106" s="39"/>
      <c r="X106" s="39"/>
      <c r="Y106" s="39"/>
      <c r="Z106" s="50"/>
      <c r="AA106" s="44"/>
      <c r="AB106" s="44"/>
      <c r="AC106" s="44"/>
      <c r="AD106" s="45"/>
      <c r="AE106" s="29">
        <f t="shared" si="3"/>
        <v>5</v>
      </c>
      <c r="AF106" s="46">
        <f t="shared" si="4"/>
        <v>7.142857143</v>
      </c>
      <c r="AG106" s="31">
        <f t="shared" si="5"/>
        <v>1</v>
      </c>
    </row>
    <row r="107">
      <c r="A107" s="39">
        <v>105.0</v>
      </c>
      <c r="B107" s="107" t="s">
        <v>147</v>
      </c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10"/>
      <c r="N107" s="110"/>
      <c r="O107" s="110"/>
      <c r="P107" s="111">
        <v>5.0</v>
      </c>
      <c r="Q107" s="110"/>
      <c r="R107" s="112"/>
      <c r="S107" s="110"/>
      <c r="T107" s="39"/>
      <c r="U107" s="39"/>
      <c r="V107" s="39"/>
      <c r="W107" s="39"/>
      <c r="X107" s="39"/>
      <c r="Y107" s="39"/>
      <c r="Z107" s="50"/>
      <c r="AA107" s="44"/>
      <c r="AB107" s="44"/>
      <c r="AC107" s="44"/>
      <c r="AD107" s="45"/>
      <c r="AE107" s="29">
        <f t="shared" si="3"/>
        <v>5</v>
      </c>
      <c r="AF107" s="46">
        <f t="shared" si="4"/>
        <v>7.142857143</v>
      </c>
      <c r="AG107" s="31">
        <f t="shared" si="5"/>
        <v>1</v>
      </c>
    </row>
    <row r="108">
      <c r="A108" s="39">
        <v>106.0</v>
      </c>
      <c r="B108" s="106" t="s">
        <v>148</v>
      </c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10"/>
      <c r="N108" s="110"/>
      <c r="O108" s="110"/>
      <c r="P108" s="111">
        <v>5.0</v>
      </c>
      <c r="Q108" s="110"/>
      <c r="R108" s="112"/>
      <c r="S108" s="110"/>
      <c r="T108" s="39"/>
      <c r="U108" s="39"/>
      <c r="V108" s="39"/>
      <c r="W108" s="39"/>
      <c r="X108" s="39"/>
      <c r="Y108" s="39"/>
      <c r="Z108" s="50"/>
      <c r="AA108" s="44"/>
      <c r="AB108" s="44"/>
      <c r="AC108" s="44"/>
      <c r="AD108" s="45"/>
      <c r="AE108" s="29">
        <f t="shared" si="3"/>
        <v>5</v>
      </c>
      <c r="AF108" s="46">
        <f t="shared" si="4"/>
        <v>7.142857143</v>
      </c>
      <c r="AG108" s="31">
        <f t="shared" si="5"/>
        <v>1</v>
      </c>
    </row>
    <row r="109">
      <c r="A109" s="39">
        <v>107.0</v>
      </c>
      <c r="B109" s="107" t="s">
        <v>149</v>
      </c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10"/>
      <c r="N109" s="110"/>
      <c r="O109" s="110"/>
      <c r="P109" s="111">
        <v>5.0</v>
      </c>
      <c r="Q109" s="110"/>
      <c r="R109" s="112"/>
      <c r="S109" s="110"/>
      <c r="T109" s="39"/>
      <c r="U109" s="39"/>
      <c r="V109" s="39"/>
      <c r="W109" s="39"/>
      <c r="X109" s="39"/>
      <c r="Y109" s="39"/>
      <c r="Z109" s="50"/>
      <c r="AA109" s="44"/>
      <c r="AB109" s="44"/>
      <c r="AC109" s="44"/>
      <c r="AD109" s="45"/>
      <c r="AE109" s="29">
        <f t="shared" si="3"/>
        <v>5</v>
      </c>
      <c r="AF109" s="46">
        <f t="shared" si="4"/>
        <v>7.142857143</v>
      </c>
      <c r="AG109" s="31">
        <f t="shared" si="5"/>
        <v>1</v>
      </c>
    </row>
    <row r="110">
      <c r="A110" s="39">
        <v>108.0</v>
      </c>
      <c r="B110" s="106" t="s">
        <v>150</v>
      </c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10"/>
      <c r="N110" s="110"/>
      <c r="O110" s="110"/>
      <c r="P110" s="113"/>
      <c r="Q110" s="114">
        <v>5.0</v>
      </c>
      <c r="R110" s="112"/>
      <c r="S110" s="114">
        <v>5.0</v>
      </c>
      <c r="T110" s="39">
        <v>5.0</v>
      </c>
      <c r="U110" s="39"/>
      <c r="V110" s="39"/>
      <c r="W110" s="39"/>
      <c r="X110" s="39">
        <v>5.0</v>
      </c>
      <c r="Y110" s="39"/>
      <c r="Z110" s="50"/>
      <c r="AA110" s="44"/>
      <c r="AB110" s="44"/>
      <c r="AC110" s="44"/>
      <c r="AD110" s="45"/>
      <c r="AE110" s="29">
        <f t="shared" si="3"/>
        <v>20</v>
      </c>
      <c r="AF110" s="46">
        <f t="shared" si="4"/>
        <v>28.57142857</v>
      </c>
      <c r="AG110" s="31">
        <f t="shared" si="5"/>
        <v>4</v>
      </c>
    </row>
    <row r="111">
      <c r="A111" s="39">
        <v>109.0</v>
      </c>
      <c r="B111" s="108" t="s">
        <v>151</v>
      </c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10"/>
      <c r="N111" s="110"/>
      <c r="O111" s="110"/>
      <c r="P111" s="113"/>
      <c r="Q111" s="110"/>
      <c r="R111" s="115">
        <v>10.0</v>
      </c>
      <c r="S111" s="110"/>
      <c r="T111" s="39"/>
      <c r="U111" s="39"/>
      <c r="V111" s="39"/>
      <c r="W111" s="39"/>
      <c r="X111" s="39"/>
      <c r="Y111" s="39"/>
      <c r="Z111" s="50"/>
      <c r="AA111" s="44"/>
      <c r="AB111" s="44"/>
      <c r="AC111" s="44"/>
      <c r="AD111" s="45"/>
      <c r="AE111" s="29">
        <f t="shared" si="3"/>
        <v>10</v>
      </c>
      <c r="AF111" s="46">
        <f t="shared" si="4"/>
        <v>14.28571429</v>
      </c>
      <c r="AG111" s="31">
        <f t="shared" si="5"/>
        <v>1</v>
      </c>
    </row>
    <row r="112">
      <c r="A112" s="39">
        <v>110.0</v>
      </c>
      <c r="B112" s="107" t="s">
        <v>152</v>
      </c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10"/>
      <c r="N112" s="110"/>
      <c r="O112" s="110"/>
      <c r="P112" s="113"/>
      <c r="Q112" s="110"/>
      <c r="R112" s="112"/>
      <c r="S112" s="114">
        <v>5.0</v>
      </c>
      <c r="T112" s="39"/>
      <c r="U112" s="39"/>
      <c r="V112" s="39"/>
      <c r="W112" s="39"/>
      <c r="X112" s="39"/>
      <c r="Y112" s="39"/>
      <c r="Z112" s="50"/>
      <c r="AA112" s="44"/>
      <c r="AB112" s="44"/>
      <c r="AC112" s="44"/>
      <c r="AD112" s="45"/>
      <c r="AE112" s="29">
        <f t="shared" si="3"/>
        <v>5</v>
      </c>
      <c r="AF112" s="46">
        <f t="shared" si="4"/>
        <v>7.142857143</v>
      </c>
      <c r="AG112" s="31">
        <f t="shared" si="5"/>
        <v>1</v>
      </c>
    </row>
    <row r="113">
      <c r="A113" s="39">
        <v>111.0</v>
      </c>
      <c r="B113" s="106" t="s">
        <v>153</v>
      </c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10"/>
      <c r="N113" s="110"/>
      <c r="O113" s="110"/>
      <c r="P113" s="113"/>
      <c r="Q113" s="110"/>
      <c r="R113" s="112"/>
      <c r="S113" s="114">
        <v>5.0</v>
      </c>
      <c r="T113" s="39"/>
      <c r="U113" s="39"/>
      <c r="V113" s="39"/>
      <c r="W113" s="39">
        <v>5.0</v>
      </c>
      <c r="X113" s="39"/>
      <c r="Y113" s="39"/>
      <c r="Z113" s="50"/>
      <c r="AA113" s="44"/>
      <c r="AB113" s="44"/>
      <c r="AC113" s="44"/>
      <c r="AD113" s="45"/>
      <c r="AE113" s="29">
        <f t="shared" si="3"/>
        <v>10</v>
      </c>
      <c r="AF113" s="46">
        <f t="shared" si="4"/>
        <v>14.28571429</v>
      </c>
      <c r="AG113" s="31">
        <f t="shared" si="5"/>
        <v>2</v>
      </c>
    </row>
    <row r="114">
      <c r="A114" s="39">
        <v>112.0</v>
      </c>
      <c r="B114" s="107" t="s">
        <v>154</v>
      </c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10"/>
      <c r="N114" s="110"/>
      <c r="O114" s="110"/>
      <c r="P114" s="113"/>
      <c r="Q114" s="110"/>
      <c r="R114" s="112"/>
      <c r="S114" s="114">
        <v>5.0</v>
      </c>
      <c r="T114" s="39"/>
      <c r="U114" s="39"/>
      <c r="V114" s="39"/>
      <c r="W114" s="39"/>
      <c r="X114" s="39"/>
      <c r="Y114" s="39"/>
      <c r="Z114" s="50"/>
      <c r="AA114" s="44"/>
      <c r="AB114" s="44"/>
      <c r="AC114" s="44"/>
      <c r="AD114" s="45"/>
      <c r="AE114" s="29">
        <f t="shared" si="3"/>
        <v>5</v>
      </c>
      <c r="AF114" s="46">
        <f t="shared" si="4"/>
        <v>7.142857143</v>
      </c>
      <c r="AG114" s="31">
        <f t="shared" si="5"/>
        <v>1</v>
      </c>
    </row>
    <row r="115">
      <c r="A115" s="39">
        <v>113.0</v>
      </c>
      <c r="B115" s="108" t="s">
        <v>155</v>
      </c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10"/>
      <c r="N115" s="110"/>
      <c r="O115" s="110"/>
      <c r="P115" s="113"/>
      <c r="Q115" s="110"/>
      <c r="R115" s="112"/>
      <c r="S115" s="110"/>
      <c r="T115" s="114">
        <v>5.0</v>
      </c>
      <c r="U115" s="110"/>
      <c r="V115" s="114"/>
      <c r="W115" s="39"/>
      <c r="X115" s="39"/>
      <c r="Y115" s="39"/>
      <c r="Z115" s="50"/>
      <c r="AA115" s="44"/>
      <c r="AB115" s="44"/>
      <c r="AC115" s="44"/>
      <c r="AD115" s="45"/>
      <c r="AE115" s="29">
        <f t="shared" si="3"/>
        <v>5</v>
      </c>
      <c r="AF115" s="46">
        <f t="shared" si="4"/>
        <v>7.142857143</v>
      </c>
      <c r="AG115" s="31">
        <f t="shared" si="5"/>
        <v>1</v>
      </c>
    </row>
    <row r="116">
      <c r="A116" s="39">
        <v>114.0</v>
      </c>
      <c r="B116" s="108" t="s">
        <v>156</v>
      </c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10"/>
      <c r="N116" s="110"/>
      <c r="O116" s="110"/>
      <c r="P116" s="113"/>
      <c r="Q116" s="110"/>
      <c r="R116" s="112"/>
      <c r="S116" s="110"/>
      <c r="T116" s="114">
        <v>5.0</v>
      </c>
      <c r="U116" s="110"/>
      <c r="V116" s="114">
        <v>5.0</v>
      </c>
      <c r="W116" s="39"/>
      <c r="X116" s="39"/>
      <c r="Y116" s="39"/>
      <c r="Z116" s="50"/>
      <c r="AA116" s="44"/>
      <c r="AB116" s="44"/>
      <c r="AC116" s="44"/>
      <c r="AD116" s="45"/>
      <c r="AE116" s="29">
        <f t="shared" si="3"/>
        <v>10</v>
      </c>
      <c r="AF116" s="46">
        <f t="shared" si="4"/>
        <v>14.28571429</v>
      </c>
      <c r="AG116" s="31">
        <f t="shared" si="5"/>
        <v>2</v>
      </c>
    </row>
    <row r="117">
      <c r="A117" s="39">
        <v>115.0</v>
      </c>
      <c r="B117" s="108" t="s">
        <v>157</v>
      </c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10"/>
      <c r="N117" s="110"/>
      <c r="O117" s="110"/>
      <c r="P117" s="113"/>
      <c r="Q117" s="110"/>
      <c r="R117" s="112"/>
      <c r="S117" s="110"/>
      <c r="T117" s="114">
        <v>5.0</v>
      </c>
      <c r="U117" s="110"/>
      <c r="V117" s="110"/>
      <c r="W117" s="39"/>
      <c r="X117" s="39"/>
      <c r="Y117" s="39"/>
      <c r="Z117" s="50"/>
      <c r="AA117" s="44"/>
      <c r="AB117" s="44"/>
      <c r="AC117" s="44"/>
      <c r="AD117" s="45"/>
      <c r="AE117" s="29">
        <f t="shared" si="3"/>
        <v>5</v>
      </c>
      <c r="AF117" s="46">
        <f t="shared" si="4"/>
        <v>7.142857143</v>
      </c>
      <c r="AG117" s="31">
        <f t="shared" si="5"/>
        <v>1</v>
      </c>
    </row>
    <row r="118">
      <c r="A118" s="39">
        <v>116.0</v>
      </c>
      <c r="B118" s="108" t="s">
        <v>158</v>
      </c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10"/>
      <c r="N118" s="110"/>
      <c r="O118" s="110"/>
      <c r="P118" s="113"/>
      <c r="Q118" s="110"/>
      <c r="R118" s="112"/>
      <c r="S118" s="110"/>
      <c r="T118" s="114">
        <v>5.0</v>
      </c>
      <c r="U118" s="110"/>
      <c r="V118" s="110"/>
      <c r="W118" s="39"/>
      <c r="X118" s="39"/>
      <c r="Y118" s="39"/>
      <c r="Z118" s="50"/>
      <c r="AA118" s="44"/>
      <c r="AB118" s="44"/>
      <c r="AC118" s="44"/>
      <c r="AD118" s="45"/>
      <c r="AE118" s="29">
        <f t="shared" si="3"/>
        <v>5</v>
      </c>
      <c r="AF118" s="46">
        <f t="shared" si="4"/>
        <v>7.142857143</v>
      </c>
      <c r="AG118" s="31">
        <f t="shared" si="5"/>
        <v>1</v>
      </c>
    </row>
    <row r="119">
      <c r="A119" s="39">
        <v>117.0</v>
      </c>
      <c r="B119" s="108" t="s">
        <v>159</v>
      </c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10"/>
      <c r="N119" s="110"/>
      <c r="O119" s="110"/>
      <c r="P119" s="113"/>
      <c r="Q119" s="110"/>
      <c r="R119" s="112"/>
      <c r="S119" s="110"/>
      <c r="T119" s="110"/>
      <c r="U119" s="114">
        <v>5.0</v>
      </c>
      <c r="V119" s="110"/>
      <c r="W119" s="39"/>
      <c r="X119" s="39"/>
      <c r="Y119" s="39"/>
      <c r="Z119" s="50"/>
      <c r="AA119" s="44"/>
      <c r="AB119" s="44"/>
      <c r="AC119" s="44"/>
      <c r="AD119" s="45"/>
      <c r="AE119" s="29">
        <f t="shared" si="3"/>
        <v>5</v>
      </c>
      <c r="AF119" s="46">
        <f t="shared" si="4"/>
        <v>7.142857143</v>
      </c>
      <c r="AG119" s="31">
        <f t="shared" si="5"/>
        <v>1</v>
      </c>
    </row>
    <row r="120">
      <c r="A120" s="39">
        <v>118.0</v>
      </c>
      <c r="B120" s="108" t="s">
        <v>160</v>
      </c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10"/>
      <c r="N120" s="110"/>
      <c r="O120" s="110"/>
      <c r="P120" s="113"/>
      <c r="Q120" s="110"/>
      <c r="R120" s="112"/>
      <c r="S120" s="110"/>
      <c r="T120" s="110"/>
      <c r="U120" s="114">
        <v>5.0</v>
      </c>
      <c r="V120" s="110"/>
      <c r="W120" s="39"/>
      <c r="X120" s="39"/>
      <c r="Y120" s="39"/>
      <c r="Z120" s="50"/>
      <c r="AA120" s="44"/>
      <c r="AB120" s="44"/>
      <c r="AC120" s="44"/>
      <c r="AD120" s="45"/>
      <c r="AE120" s="29">
        <f t="shared" si="3"/>
        <v>5</v>
      </c>
      <c r="AF120" s="46">
        <f t="shared" si="4"/>
        <v>7.142857143</v>
      </c>
      <c r="AG120" s="31">
        <f t="shared" si="5"/>
        <v>1</v>
      </c>
    </row>
    <row r="121">
      <c r="A121" s="39">
        <v>119.0</v>
      </c>
      <c r="B121" s="108" t="s">
        <v>161</v>
      </c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10"/>
      <c r="N121" s="110"/>
      <c r="O121" s="110"/>
      <c r="P121" s="113"/>
      <c r="Q121" s="110"/>
      <c r="R121" s="112"/>
      <c r="S121" s="110"/>
      <c r="T121" s="110"/>
      <c r="U121" s="114">
        <v>5.0</v>
      </c>
      <c r="V121" s="110"/>
      <c r="W121" s="39"/>
      <c r="X121" s="39"/>
      <c r="Y121" s="39"/>
      <c r="Z121" s="50"/>
      <c r="AA121" s="44"/>
      <c r="AB121" s="44"/>
      <c r="AC121" s="44"/>
      <c r="AD121" s="45"/>
      <c r="AE121" s="29">
        <f t="shared" si="3"/>
        <v>5</v>
      </c>
      <c r="AF121" s="46">
        <f t="shared" si="4"/>
        <v>7.142857143</v>
      </c>
      <c r="AG121" s="31">
        <f t="shared" si="5"/>
        <v>1</v>
      </c>
    </row>
    <row r="122">
      <c r="A122" s="39">
        <v>120.0</v>
      </c>
      <c r="B122" s="108" t="s">
        <v>162</v>
      </c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10"/>
      <c r="N122" s="110"/>
      <c r="O122" s="110"/>
      <c r="P122" s="113"/>
      <c r="Q122" s="110"/>
      <c r="R122" s="112"/>
      <c r="S122" s="110"/>
      <c r="T122" s="110"/>
      <c r="U122" s="110"/>
      <c r="V122" s="114">
        <v>5.0</v>
      </c>
      <c r="W122" s="39"/>
      <c r="X122" s="39"/>
      <c r="Y122" s="39"/>
      <c r="Z122" s="50"/>
      <c r="AA122" s="44"/>
      <c r="AB122" s="44"/>
      <c r="AC122" s="44"/>
      <c r="AD122" s="45"/>
      <c r="AE122" s="29">
        <f t="shared" si="3"/>
        <v>5</v>
      </c>
      <c r="AF122" s="46">
        <f t="shared" si="4"/>
        <v>7.142857143</v>
      </c>
      <c r="AG122" s="31">
        <f t="shared" si="5"/>
        <v>1</v>
      </c>
    </row>
    <row r="123">
      <c r="A123" s="39">
        <v>121.0</v>
      </c>
      <c r="B123" s="108" t="s">
        <v>163</v>
      </c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10"/>
      <c r="N123" s="110"/>
      <c r="O123" s="110"/>
      <c r="P123" s="113"/>
      <c r="Q123" s="110"/>
      <c r="R123" s="112"/>
      <c r="S123" s="110"/>
      <c r="T123" s="110"/>
      <c r="U123" s="110"/>
      <c r="V123" s="114">
        <v>5.0</v>
      </c>
      <c r="W123" s="39"/>
      <c r="X123" s="39"/>
      <c r="Y123" s="39"/>
      <c r="Z123" s="50"/>
      <c r="AA123" s="44"/>
      <c r="AB123" s="44"/>
      <c r="AC123" s="44"/>
      <c r="AD123" s="45"/>
      <c r="AE123" s="29">
        <f t="shared" si="3"/>
        <v>5</v>
      </c>
      <c r="AF123" s="46">
        <f t="shared" si="4"/>
        <v>7.142857143</v>
      </c>
      <c r="AG123" s="31">
        <f t="shared" si="5"/>
        <v>1</v>
      </c>
    </row>
    <row r="124">
      <c r="A124" s="39">
        <v>122.0</v>
      </c>
      <c r="B124" s="108" t="s">
        <v>164</v>
      </c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10"/>
      <c r="N124" s="110"/>
      <c r="O124" s="110"/>
      <c r="P124" s="113"/>
      <c r="Q124" s="110"/>
      <c r="R124" s="112"/>
      <c r="S124" s="110"/>
      <c r="T124" s="110"/>
      <c r="U124" s="110"/>
      <c r="V124" s="114">
        <v>5.0</v>
      </c>
      <c r="W124" s="39">
        <v>5.0</v>
      </c>
      <c r="X124" s="39">
        <v>5.0</v>
      </c>
      <c r="Y124" s="39"/>
      <c r="Z124" s="50"/>
      <c r="AA124" s="44"/>
      <c r="AB124" s="44"/>
      <c r="AC124" s="44"/>
      <c r="AD124" s="45"/>
      <c r="AE124" s="29">
        <f t="shared" si="3"/>
        <v>15</v>
      </c>
      <c r="AF124" s="46">
        <f t="shared" si="4"/>
        <v>21.42857143</v>
      </c>
      <c r="AG124" s="31">
        <f t="shared" si="5"/>
        <v>3</v>
      </c>
    </row>
    <row r="125">
      <c r="A125" s="39">
        <v>123.0</v>
      </c>
      <c r="B125" s="108" t="s">
        <v>165</v>
      </c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10"/>
      <c r="N125" s="110"/>
      <c r="O125" s="110"/>
      <c r="P125" s="113"/>
      <c r="Q125" s="110"/>
      <c r="R125" s="112"/>
      <c r="S125" s="110"/>
      <c r="T125" s="110"/>
      <c r="U125" s="110"/>
      <c r="V125" s="114">
        <v>5.0</v>
      </c>
      <c r="W125" s="39"/>
      <c r="X125" s="39"/>
      <c r="Y125" s="39"/>
      <c r="Z125" s="50"/>
      <c r="AA125" s="44"/>
      <c r="AB125" s="44"/>
      <c r="AC125" s="44"/>
      <c r="AD125" s="45"/>
      <c r="AE125" s="29">
        <f t="shared" si="3"/>
        <v>5</v>
      </c>
      <c r="AF125" s="46">
        <f t="shared" si="4"/>
        <v>7.142857143</v>
      </c>
      <c r="AG125" s="31">
        <f t="shared" si="5"/>
        <v>1</v>
      </c>
    </row>
    <row r="126">
      <c r="A126" s="39">
        <v>124.0</v>
      </c>
      <c r="B126" s="108" t="s">
        <v>166</v>
      </c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10"/>
      <c r="N126" s="110"/>
      <c r="O126" s="110"/>
      <c r="P126" s="113"/>
      <c r="Q126" s="110"/>
      <c r="R126" s="112"/>
      <c r="S126" s="110"/>
      <c r="T126" s="110"/>
      <c r="U126" s="110"/>
      <c r="V126" s="114">
        <v>5.0</v>
      </c>
      <c r="W126" s="39"/>
      <c r="X126" s="39"/>
      <c r="Y126" s="39"/>
      <c r="Z126" s="50"/>
      <c r="AA126" s="44"/>
      <c r="AB126" s="44"/>
      <c r="AC126" s="44"/>
      <c r="AD126" s="45"/>
      <c r="AE126" s="29">
        <f t="shared" si="3"/>
        <v>5</v>
      </c>
      <c r="AF126" s="46">
        <f t="shared" si="4"/>
        <v>7.142857143</v>
      </c>
      <c r="AG126" s="31">
        <f t="shared" si="5"/>
        <v>1</v>
      </c>
    </row>
    <row r="127">
      <c r="A127" s="39">
        <v>125.0</v>
      </c>
      <c r="B127" s="108" t="s">
        <v>167</v>
      </c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10"/>
      <c r="N127" s="110"/>
      <c r="O127" s="110"/>
      <c r="P127" s="113"/>
      <c r="Q127" s="110"/>
      <c r="R127" s="112"/>
      <c r="S127" s="110"/>
      <c r="T127" s="110"/>
      <c r="U127" s="110"/>
      <c r="V127" s="114"/>
      <c r="W127" s="39">
        <v>5.0</v>
      </c>
      <c r="X127" s="39"/>
      <c r="Y127" s="39"/>
      <c r="Z127" s="50"/>
      <c r="AA127" s="44"/>
      <c r="AB127" s="44"/>
      <c r="AC127" s="44"/>
      <c r="AD127" s="45"/>
      <c r="AE127" s="29">
        <f t="shared" si="3"/>
        <v>5</v>
      </c>
      <c r="AF127" s="46">
        <f t="shared" si="4"/>
        <v>7.142857143</v>
      </c>
      <c r="AG127" s="31">
        <f t="shared" si="5"/>
        <v>1</v>
      </c>
    </row>
    <row r="128">
      <c r="A128" s="114">
        <v>126.0</v>
      </c>
      <c r="B128" s="108" t="s">
        <v>168</v>
      </c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10"/>
      <c r="N128" s="110"/>
      <c r="O128" s="110"/>
      <c r="P128" s="113"/>
      <c r="Q128" s="110"/>
      <c r="R128" s="112"/>
      <c r="S128" s="110"/>
      <c r="T128" s="110"/>
      <c r="U128" s="110"/>
      <c r="V128" s="110"/>
      <c r="W128" s="39">
        <v>5.0</v>
      </c>
      <c r="X128" s="39"/>
      <c r="Y128" s="39"/>
      <c r="Z128" s="50"/>
      <c r="AA128" s="44"/>
      <c r="AB128" s="44"/>
      <c r="AC128" s="44"/>
      <c r="AD128" s="45"/>
      <c r="AE128" s="29">
        <f t="shared" si="3"/>
        <v>5</v>
      </c>
      <c r="AF128" s="46">
        <f t="shared" si="4"/>
        <v>7.142857143</v>
      </c>
      <c r="AG128" s="31">
        <f t="shared" si="5"/>
        <v>1</v>
      </c>
    </row>
    <row r="129">
      <c r="A129" s="114">
        <v>127.0</v>
      </c>
      <c r="B129" s="108" t="s">
        <v>169</v>
      </c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10"/>
      <c r="N129" s="110"/>
      <c r="O129" s="110"/>
      <c r="P129" s="113"/>
      <c r="Q129" s="110"/>
      <c r="R129" s="112"/>
      <c r="S129" s="110"/>
      <c r="T129" s="110"/>
      <c r="U129" s="110"/>
      <c r="V129" s="110"/>
      <c r="W129" s="39">
        <v>5.0</v>
      </c>
      <c r="X129" s="39"/>
      <c r="Y129" s="39"/>
      <c r="Z129" s="50"/>
      <c r="AA129" s="44"/>
      <c r="AB129" s="44"/>
      <c r="AC129" s="44"/>
      <c r="AD129" s="45"/>
      <c r="AE129" s="29">
        <f t="shared" si="3"/>
        <v>5</v>
      </c>
      <c r="AF129" s="46">
        <f t="shared" si="4"/>
        <v>7.142857143</v>
      </c>
      <c r="AG129" s="31">
        <f t="shared" si="5"/>
        <v>1</v>
      </c>
    </row>
    <row r="130">
      <c r="A130" s="114">
        <v>128.0</v>
      </c>
      <c r="B130" s="108" t="s">
        <v>170</v>
      </c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10"/>
      <c r="N130" s="110"/>
      <c r="O130" s="110"/>
      <c r="P130" s="113"/>
      <c r="Q130" s="110"/>
      <c r="R130" s="112"/>
      <c r="S130" s="110"/>
      <c r="T130" s="110"/>
      <c r="U130" s="110"/>
      <c r="V130" s="110"/>
      <c r="W130" s="39">
        <v>5.0</v>
      </c>
      <c r="X130" s="39"/>
      <c r="Y130" s="39"/>
      <c r="Z130" s="50"/>
      <c r="AA130" s="44"/>
      <c r="AB130" s="44"/>
      <c r="AC130" s="44"/>
      <c r="AD130" s="45"/>
      <c r="AE130" s="29">
        <f t="shared" si="3"/>
        <v>5</v>
      </c>
      <c r="AF130" s="46">
        <f t="shared" si="4"/>
        <v>7.142857143</v>
      </c>
      <c r="AG130" s="31">
        <f t="shared" si="5"/>
        <v>1</v>
      </c>
    </row>
    <row r="131">
      <c r="A131" s="114">
        <v>129.0</v>
      </c>
      <c r="B131" s="108" t="s">
        <v>171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10"/>
      <c r="N131" s="110"/>
      <c r="O131" s="110"/>
      <c r="P131" s="113"/>
      <c r="Q131" s="110"/>
      <c r="R131" s="112"/>
      <c r="S131" s="110"/>
      <c r="T131" s="110"/>
      <c r="U131" s="110"/>
      <c r="V131" s="110"/>
      <c r="W131" s="39"/>
      <c r="X131" s="39">
        <v>5.0</v>
      </c>
      <c r="Y131" s="39"/>
      <c r="Z131" s="50"/>
      <c r="AA131" s="44"/>
      <c r="AB131" s="44"/>
      <c r="AC131" s="44"/>
      <c r="AD131" s="45"/>
      <c r="AE131" s="29">
        <f t="shared" si="3"/>
        <v>5</v>
      </c>
      <c r="AF131" s="46">
        <f t="shared" si="4"/>
        <v>7.142857143</v>
      </c>
      <c r="AG131" s="31">
        <f t="shared" si="5"/>
        <v>1</v>
      </c>
    </row>
    <row r="132">
      <c r="A132" s="114">
        <v>130.0</v>
      </c>
      <c r="B132" s="108" t="s">
        <v>172</v>
      </c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10"/>
      <c r="N132" s="110"/>
      <c r="O132" s="110"/>
      <c r="P132" s="113"/>
      <c r="Q132" s="110"/>
      <c r="R132" s="112"/>
      <c r="S132" s="110"/>
      <c r="T132" s="110"/>
      <c r="U132" s="110"/>
      <c r="V132" s="110"/>
      <c r="W132" s="39"/>
      <c r="X132" s="39"/>
      <c r="Y132" s="39"/>
      <c r="Z132" s="50">
        <v>5.0</v>
      </c>
      <c r="AA132" s="44"/>
      <c r="AB132" s="44"/>
      <c r="AC132" s="44"/>
      <c r="AD132" s="45"/>
      <c r="AE132" s="29">
        <f t="shared" si="3"/>
        <v>5</v>
      </c>
      <c r="AF132" s="46">
        <f t="shared" si="4"/>
        <v>7.142857143</v>
      </c>
      <c r="AG132" s="31">
        <f t="shared" si="5"/>
        <v>1</v>
      </c>
    </row>
    <row r="133">
      <c r="A133" s="114">
        <v>131.0</v>
      </c>
      <c r="B133" s="108" t="s">
        <v>173</v>
      </c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10"/>
      <c r="N133" s="110"/>
      <c r="O133" s="110"/>
      <c r="P133" s="113"/>
      <c r="Q133" s="110"/>
      <c r="R133" s="112"/>
      <c r="S133" s="110"/>
      <c r="T133" s="110"/>
      <c r="U133" s="110"/>
      <c r="V133" s="110"/>
      <c r="W133" s="39"/>
      <c r="X133" s="39"/>
      <c r="Y133" s="39"/>
      <c r="Z133" s="50">
        <v>5.0</v>
      </c>
      <c r="AA133" s="44"/>
      <c r="AB133" s="44"/>
      <c r="AC133" s="44"/>
      <c r="AD133" s="45"/>
      <c r="AE133" s="29">
        <f t="shared" si="3"/>
        <v>5</v>
      </c>
      <c r="AF133" s="46">
        <f t="shared" si="4"/>
        <v>7.142857143</v>
      </c>
      <c r="AG133" s="31">
        <f t="shared" si="5"/>
        <v>1</v>
      </c>
    </row>
    <row r="134">
      <c r="A134" s="114">
        <v>132.0</v>
      </c>
      <c r="B134" s="108" t="s">
        <v>174</v>
      </c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10"/>
      <c r="N134" s="110"/>
      <c r="O134" s="110"/>
      <c r="P134" s="113"/>
      <c r="Q134" s="110"/>
      <c r="R134" s="112"/>
      <c r="S134" s="110"/>
      <c r="T134" s="110"/>
      <c r="U134" s="110"/>
      <c r="V134" s="110"/>
      <c r="W134" s="39"/>
      <c r="X134" s="39"/>
      <c r="Y134" s="39"/>
      <c r="Z134" s="50">
        <v>5.0</v>
      </c>
      <c r="AA134" s="44"/>
      <c r="AB134" s="44"/>
      <c r="AC134" s="44"/>
      <c r="AD134" s="45"/>
      <c r="AE134" s="29">
        <f t="shared" si="3"/>
        <v>5</v>
      </c>
      <c r="AF134" s="46">
        <f t="shared" si="4"/>
        <v>7.142857143</v>
      </c>
      <c r="AG134" s="31">
        <f t="shared" si="5"/>
        <v>1</v>
      </c>
    </row>
    <row r="135">
      <c r="A135" s="110"/>
      <c r="B135" s="110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10"/>
      <c r="N135" s="110"/>
      <c r="O135" s="110"/>
      <c r="P135" s="113"/>
      <c r="Q135" s="110"/>
      <c r="R135" s="112"/>
      <c r="S135" s="110"/>
      <c r="T135" s="110"/>
      <c r="U135" s="110"/>
      <c r="V135" s="110"/>
      <c r="W135" s="39"/>
      <c r="X135" s="39"/>
      <c r="Y135" s="39"/>
      <c r="Z135" s="50"/>
      <c r="AA135" s="44"/>
      <c r="AB135" s="44"/>
      <c r="AC135" s="44"/>
      <c r="AD135" s="45"/>
      <c r="AE135" s="29">
        <f t="shared" si="3"/>
        <v>0</v>
      </c>
      <c r="AF135" s="46">
        <f t="shared" si="4"/>
        <v>0</v>
      </c>
      <c r="AG135" s="31">
        <f t="shared" si="5"/>
        <v>0</v>
      </c>
    </row>
    <row r="136">
      <c r="A136" s="110"/>
      <c r="B136" s="110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10"/>
      <c r="N136" s="110"/>
      <c r="O136" s="110"/>
      <c r="P136" s="113"/>
      <c r="Q136" s="110"/>
      <c r="R136" s="112"/>
      <c r="S136" s="110"/>
      <c r="T136" s="110"/>
      <c r="U136" s="110"/>
      <c r="V136" s="110"/>
      <c r="W136" s="39"/>
      <c r="X136" s="39"/>
      <c r="Y136" s="39"/>
      <c r="Z136" s="50"/>
      <c r="AA136" s="44"/>
      <c r="AB136" s="44"/>
      <c r="AC136" s="44"/>
      <c r="AD136" s="45"/>
      <c r="AE136" s="29">
        <f t="shared" si="3"/>
        <v>0</v>
      </c>
      <c r="AF136" s="46">
        <f t="shared" si="4"/>
        <v>0</v>
      </c>
      <c r="AG136" s="31">
        <f t="shared" si="5"/>
        <v>0</v>
      </c>
    </row>
    <row r="137">
      <c r="A137" s="110"/>
      <c r="B137" s="110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10"/>
      <c r="N137" s="110"/>
      <c r="O137" s="110"/>
      <c r="P137" s="113"/>
      <c r="Q137" s="110"/>
      <c r="R137" s="112"/>
      <c r="S137" s="110"/>
      <c r="T137" s="110"/>
      <c r="U137" s="110"/>
      <c r="V137" s="110"/>
      <c r="W137" s="39"/>
      <c r="X137" s="39"/>
      <c r="Y137" s="39"/>
      <c r="Z137" s="50"/>
      <c r="AA137" s="44"/>
      <c r="AB137" s="44"/>
      <c r="AC137" s="44"/>
      <c r="AD137" s="45"/>
      <c r="AE137" s="29">
        <f t="shared" si="3"/>
        <v>0</v>
      </c>
      <c r="AF137" s="46">
        <f t="shared" si="4"/>
        <v>0</v>
      </c>
      <c r="AG137" s="31">
        <f t="shared" si="5"/>
        <v>0</v>
      </c>
    </row>
    <row r="138">
      <c r="A138" s="110"/>
      <c r="B138" s="110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10"/>
      <c r="N138" s="110"/>
      <c r="O138" s="110"/>
      <c r="P138" s="113"/>
      <c r="Q138" s="110"/>
      <c r="R138" s="112"/>
      <c r="S138" s="110"/>
      <c r="T138" s="110"/>
      <c r="U138" s="110"/>
      <c r="V138" s="110"/>
      <c r="W138" s="39"/>
      <c r="X138" s="39"/>
      <c r="Y138" s="39"/>
      <c r="Z138" s="50"/>
      <c r="AA138" s="44"/>
      <c r="AB138" s="44"/>
      <c r="AC138" s="44"/>
      <c r="AD138" s="45"/>
      <c r="AE138" s="29">
        <f t="shared" si="3"/>
        <v>0</v>
      </c>
      <c r="AF138" s="46">
        <f t="shared" si="4"/>
        <v>0</v>
      </c>
      <c r="AG138" s="31">
        <f t="shared" si="5"/>
        <v>0</v>
      </c>
    </row>
    <row r="139">
      <c r="A139" s="110"/>
      <c r="B139" s="110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10"/>
      <c r="N139" s="110"/>
      <c r="O139" s="110"/>
      <c r="P139" s="113"/>
      <c r="Q139" s="110"/>
      <c r="R139" s="112"/>
      <c r="S139" s="110"/>
      <c r="T139" s="110"/>
      <c r="U139" s="110"/>
      <c r="V139" s="110"/>
      <c r="W139" s="39"/>
      <c r="X139" s="39"/>
      <c r="Y139" s="39"/>
      <c r="Z139" s="50"/>
      <c r="AA139" s="44"/>
      <c r="AB139" s="44"/>
      <c r="AC139" s="44"/>
      <c r="AD139" s="45"/>
      <c r="AE139" s="29">
        <f t="shared" si="3"/>
        <v>0</v>
      </c>
      <c r="AF139" s="46">
        <f t="shared" si="4"/>
        <v>0</v>
      </c>
      <c r="AG139" s="31">
        <f t="shared" si="5"/>
        <v>0</v>
      </c>
    </row>
    <row r="140">
      <c r="A140" s="110"/>
      <c r="B140" s="110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10"/>
      <c r="N140" s="110"/>
      <c r="O140" s="110"/>
      <c r="P140" s="113"/>
      <c r="Q140" s="110"/>
      <c r="R140" s="112"/>
      <c r="S140" s="110"/>
      <c r="T140" s="110"/>
      <c r="U140" s="110"/>
      <c r="V140" s="110"/>
      <c r="W140" s="39"/>
      <c r="X140" s="39"/>
      <c r="Y140" s="39"/>
      <c r="Z140" s="50"/>
      <c r="AA140" s="44"/>
      <c r="AB140" s="44"/>
      <c r="AC140" s="44"/>
      <c r="AD140" s="45"/>
      <c r="AE140" s="29">
        <f t="shared" si="3"/>
        <v>0</v>
      </c>
      <c r="AF140" s="46">
        <f t="shared" si="4"/>
        <v>0</v>
      </c>
      <c r="AG140" s="31">
        <f t="shared" si="5"/>
        <v>0</v>
      </c>
    </row>
    <row r="141">
      <c r="A141" s="110"/>
      <c r="B141" s="110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10"/>
      <c r="N141" s="110"/>
      <c r="O141" s="110"/>
      <c r="P141" s="113"/>
      <c r="Q141" s="110"/>
      <c r="R141" s="112"/>
      <c r="S141" s="110"/>
      <c r="T141" s="110"/>
      <c r="U141" s="110"/>
      <c r="V141" s="110"/>
      <c r="W141" s="39"/>
      <c r="X141" s="39"/>
      <c r="Y141" s="39"/>
      <c r="Z141" s="50"/>
      <c r="AA141" s="44"/>
      <c r="AB141" s="44"/>
      <c r="AC141" s="44"/>
      <c r="AD141" s="45"/>
      <c r="AE141" s="29">
        <f t="shared" si="3"/>
        <v>0</v>
      </c>
      <c r="AF141" s="46">
        <f t="shared" si="4"/>
        <v>0</v>
      </c>
      <c r="AG141" s="31">
        <f t="shared" si="5"/>
        <v>0</v>
      </c>
    </row>
    <row r="142">
      <c r="A142" s="110"/>
      <c r="B142" s="110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10"/>
      <c r="N142" s="110"/>
      <c r="O142" s="110"/>
      <c r="P142" s="113"/>
      <c r="Q142" s="110"/>
      <c r="R142" s="112"/>
      <c r="S142" s="110"/>
      <c r="T142" s="110"/>
      <c r="U142" s="110"/>
      <c r="V142" s="110"/>
      <c r="W142" s="39"/>
      <c r="X142" s="39"/>
      <c r="Y142" s="39"/>
      <c r="Z142" s="50"/>
      <c r="AA142" s="44"/>
      <c r="AB142" s="44"/>
      <c r="AC142" s="44"/>
      <c r="AD142" s="45"/>
      <c r="AE142" s="29">
        <f t="shared" si="3"/>
        <v>0</v>
      </c>
      <c r="AF142" s="46">
        <f t="shared" si="4"/>
        <v>0</v>
      </c>
      <c r="AG142" s="31">
        <f t="shared" si="5"/>
        <v>0</v>
      </c>
    </row>
    <row r="143">
      <c r="A143" s="110"/>
      <c r="B143" s="110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10"/>
      <c r="N143" s="110"/>
      <c r="O143" s="110"/>
      <c r="P143" s="113"/>
      <c r="Q143" s="110"/>
      <c r="R143" s="112"/>
      <c r="S143" s="110"/>
      <c r="T143" s="110"/>
      <c r="U143" s="110"/>
      <c r="V143" s="110"/>
      <c r="W143" s="39"/>
      <c r="X143" s="39"/>
      <c r="Y143" s="39"/>
      <c r="Z143" s="50"/>
      <c r="AA143" s="44"/>
      <c r="AB143" s="44"/>
      <c r="AC143" s="44"/>
      <c r="AD143" s="45"/>
      <c r="AE143" s="29">
        <f t="shared" si="3"/>
        <v>0</v>
      </c>
      <c r="AF143" s="46">
        <f t="shared" si="4"/>
        <v>0</v>
      </c>
      <c r="AG143" s="31">
        <f t="shared" si="5"/>
        <v>0</v>
      </c>
    </row>
    <row r="144">
      <c r="A144" s="110"/>
      <c r="B144" s="110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10"/>
      <c r="N144" s="110"/>
      <c r="O144" s="110"/>
      <c r="P144" s="113"/>
      <c r="Q144" s="110"/>
      <c r="R144" s="112"/>
      <c r="S144" s="110"/>
      <c r="T144" s="110"/>
      <c r="U144" s="110"/>
      <c r="V144" s="110"/>
      <c r="W144" s="39"/>
      <c r="X144" s="39"/>
      <c r="Y144" s="39"/>
      <c r="Z144" s="50"/>
      <c r="AA144" s="44"/>
      <c r="AB144" s="44"/>
      <c r="AC144" s="44"/>
      <c r="AD144" s="45"/>
      <c r="AE144" s="29">
        <f t="shared" si="3"/>
        <v>0</v>
      </c>
      <c r="AF144" s="46">
        <f t="shared" si="4"/>
        <v>0</v>
      </c>
      <c r="AG144" s="31">
        <f t="shared" si="5"/>
        <v>0</v>
      </c>
    </row>
    <row r="145">
      <c r="A145" s="110"/>
      <c r="B145" s="110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10"/>
      <c r="N145" s="110"/>
      <c r="O145" s="110"/>
      <c r="P145" s="113"/>
      <c r="Q145" s="110"/>
      <c r="R145" s="112"/>
      <c r="S145" s="110"/>
      <c r="T145" s="110"/>
      <c r="U145" s="110"/>
      <c r="V145" s="110"/>
      <c r="W145" s="39"/>
      <c r="X145" s="39"/>
      <c r="Y145" s="39"/>
      <c r="Z145" s="50"/>
      <c r="AA145" s="44"/>
      <c r="AB145" s="44"/>
      <c r="AC145" s="44"/>
      <c r="AD145" s="45"/>
      <c r="AE145" s="29">
        <f t="shared" si="3"/>
        <v>0</v>
      </c>
      <c r="AF145" s="46">
        <f t="shared" si="4"/>
        <v>0</v>
      </c>
      <c r="AG145" s="31">
        <f t="shared" si="5"/>
        <v>0</v>
      </c>
    </row>
    <row r="146">
      <c r="A146" s="110"/>
      <c r="B146" s="110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10"/>
      <c r="N146" s="110"/>
      <c r="O146" s="110"/>
      <c r="P146" s="113"/>
      <c r="Q146" s="110"/>
      <c r="R146" s="112"/>
      <c r="S146" s="110"/>
      <c r="T146" s="110"/>
      <c r="U146" s="110"/>
      <c r="V146" s="110"/>
      <c r="W146" s="39"/>
      <c r="X146" s="39"/>
      <c r="Y146" s="39"/>
      <c r="Z146" s="50"/>
      <c r="AA146" s="44"/>
      <c r="AB146" s="44"/>
      <c r="AC146" s="44"/>
      <c r="AD146" s="45"/>
      <c r="AE146" s="29">
        <f t="shared" si="3"/>
        <v>0</v>
      </c>
      <c r="AF146" s="46">
        <f t="shared" si="4"/>
        <v>0</v>
      </c>
      <c r="AG146" s="31">
        <f t="shared" si="5"/>
        <v>0</v>
      </c>
    </row>
    <row r="147">
      <c r="A147" s="110"/>
      <c r="B147" s="110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10"/>
      <c r="N147" s="110"/>
      <c r="O147" s="110"/>
      <c r="P147" s="113"/>
      <c r="Q147" s="110"/>
      <c r="R147" s="112"/>
      <c r="S147" s="110"/>
      <c r="T147" s="110"/>
      <c r="U147" s="110"/>
      <c r="V147" s="110"/>
      <c r="W147" s="39"/>
      <c r="X147" s="39"/>
      <c r="Y147" s="39"/>
      <c r="Z147" s="50"/>
      <c r="AA147" s="44"/>
      <c r="AB147" s="44"/>
      <c r="AC147" s="44"/>
      <c r="AD147" s="45"/>
      <c r="AE147" s="29">
        <f t="shared" si="3"/>
        <v>0</v>
      </c>
      <c r="AF147" s="46">
        <f t="shared" si="4"/>
        <v>0</v>
      </c>
      <c r="AG147" s="31">
        <f t="shared" si="5"/>
        <v>0</v>
      </c>
    </row>
    <row r="148">
      <c r="A148" s="110"/>
      <c r="B148" s="110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10"/>
      <c r="N148" s="110"/>
      <c r="O148" s="110"/>
      <c r="P148" s="113"/>
      <c r="Q148" s="110"/>
      <c r="R148" s="112"/>
      <c r="S148" s="110"/>
      <c r="T148" s="110"/>
      <c r="U148" s="110"/>
      <c r="V148" s="110"/>
      <c r="W148" s="39"/>
      <c r="X148" s="39"/>
      <c r="Y148" s="39"/>
      <c r="Z148" s="50"/>
      <c r="AA148" s="44"/>
      <c r="AB148" s="44"/>
      <c r="AC148" s="44"/>
      <c r="AD148" s="45"/>
      <c r="AE148" s="29">
        <f t="shared" si="3"/>
        <v>0</v>
      </c>
      <c r="AF148" s="46">
        <f t="shared" si="4"/>
        <v>0</v>
      </c>
      <c r="AG148" s="31">
        <f t="shared" si="5"/>
        <v>0</v>
      </c>
    </row>
    <row r="149">
      <c r="A149" s="110"/>
      <c r="B149" s="110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10"/>
      <c r="N149" s="110"/>
      <c r="O149" s="110"/>
      <c r="P149" s="113"/>
      <c r="Q149" s="110"/>
      <c r="R149" s="112"/>
      <c r="S149" s="110"/>
      <c r="T149" s="110"/>
      <c r="U149" s="110"/>
      <c r="V149" s="110"/>
      <c r="W149" s="39"/>
      <c r="X149" s="39"/>
      <c r="Y149" s="39"/>
      <c r="Z149" s="50"/>
      <c r="AA149" s="44"/>
      <c r="AB149" s="44"/>
      <c r="AC149" s="44"/>
      <c r="AD149" s="45"/>
      <c r="AE149" s="29">
        <f t="shared" si="3"/>
        <v>0</v>
      </c>
      <c r="AF149" s="46">
        <f t="shared" si="4"/>
        <v>0</v>
      </c>
      <c r="AG149" s="31">
        <f t="shared" si="5"/>
        <v>0</v>
      </c>
    </row>
    <row r="150">
      <c r="A150" s="110"/>
      <c r="B150" s="110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10"/>
      <c r="N150" s="110"/>
      <c r="O150" s="110"/>
      <c r="P150" s="113"/>
      <c r="Q150" s="110"/>
      <c r="R150" s="112"/>
      <c r="S150" s="110"/>
      <c r="T150" s="110"/>
      <c r="U150" s="110"/>
      <c r="V150" s="110"/>
      <c r="W150" s="39"/>
      <c r="X150" s="39"/>
      <c r="Y150" s="39"/>
      <c r="Z150" s="50"/>
      <c r="AA150" s="44"/>
      <c r="AB150" s="44"/>
      <c r="AC150" s="44"/>
      <c r="AD150" s="45"/>
      <c r="AE150" s="29">
        <f t="shared" si="3"/>
        <v>0</v>
      </c>
      <c r="AF150" s="46">
        <f t="shared" si="4"/>
        <v>0</v>
      </c>
      <c r="AG150" s="31">
        <f t="shared" si="5"/>
        <v>0</v>
      </c>
    </row>
    <row r="151">
      <c r="A151" s="110"/>
      <c r="B151" s="110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10"/>
      <c r="N151" s="110"/>
      <c r="O151" s="110"/>
      <c r="P151" s="113"/>
      <c r="Q151" s="110"/>
      <c r="R151" s="112"/>
      <c r="S151" s="110"/>
      <c r="T151" s="110"/>
      <c r="U151" s="110"/>
      <c r="V151" s="110"/>
      <c r="W151" s="110"/>
      <c r="X151" s="110"/>
      <c r="Y151" s="110"/>
      <c r="Z151" s="116"/>
      <c r="AA151" s="117"/>
      <c r="AB151" s="117"/>
      <c r="AC151" s="117"/>
      <c r="AD151" s="117"/>
      <c r="AE151" s="118"/>
      <c r="AF151" s="118"/>
      <c r="AG151" s="119"/>
    </row>
    <row r="152">
      <c r="A152" s="110"/>
      <c r="B152" s="110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10"/>
      <c r="N152" s="110"/>
      <c r="O152" s="110"/>
      <c r="P152" s="113"/>
      <c r="Q152" s="110"/>
      <c r="R152" s="112"/>
      <c r="S152" s="110"/>
      <c r="T152" s="110"/>
      <c r="U152" s="110"/>
      <c r="V152" s="110"/>
      <c r="W152" s="110"/>
      <c r="X152" s="110"/>
      <c r="Y152" s="110"/>
      <c r="Z152" s="116"/>
      <c r="AA152" s="117"/>
      <c r="AB152" s="117"/>
      <c r="AC152" s="117"/>
      <c r="AD152" s="117"/>
      <c r="AE152" s="118"/>
      <c r="AF152" s="118"/>
      <c r="AG152" s="119"/>
    </row>
    <row r="153">
      <c r="A153" s="110"/>
      <c r="B153" s="110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10"/>
      <c r="N153" s="110"/>
      <c r="O153" s="110"/>
      <c r="P153" s="113"/>
      <c r="Q153" s="110"/>
      <c r="R153" s="112"/>
      <c r="S153" s="110"/>
      <c r="T153" s="110"/>
      <c r="U153" s="110"/>
      <c r="V153" s="110"/>
      <c r="W153" s="110"/>
      <c r="X153" s="110"/>
      <c r="Y153" s="110"/>
      <c r="Z153" s="116"/>
      <c r="AA153" s="117"/>
      <c r="AB153" s="117"/>
      <c r="AC153" s="117"/>
      <c r="AD153" s="117"/>
      <c r="AE153" s="118"/>
      <c r="AF153" s="118"/>
      <c r="AG153" s="119"/>
    </row>
    <row r="154">
      <c r="A154" s="110"/>
      <c r="B154" s="110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10"/>
      <c r="N154" s="110"/>
      <c r="O154" s="110"/>
      <c r="P154" s="113"/>
      <c r="Q154" s="110"/>
      <c r="R154" s="112"/>
      <c r="S154" s="110"/>
      <c r="T154" s="110"/>
      <c r="U154" s="110"/>
      <c r="V154" s="110"/>
      <c r="W154" s="110"/>
      <c r="X154" s="110"/>
      <c r="Y154" s="110"/>
      <c r="Z154" s="116"/>
      <c r="AA154" s="117"/>
      <c r="AB154" s="117"/>
      <c r="AC154" s="117"/>
      <c r="AD154" s="117"/>
      <c r="AE154" s="118"/>
      <c r="AF154" s="118"/>
      <c r="AG154" s="119"/>
    </row>
    <row r="155">
      <c r="A155" s="110"/>
      <c r="B155" s="110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10"/>
      <c r="N155" s="110"/>
      <c r="O155" s="110"/>
      <c r="P155" s="113"/>
      <c r="Q155" s="110"/>
      <c r="R155" s="112"/>
      <c r="S155" s="110"/>
      <c r="T155" s="110"/>
      <c r="U155" s="110"/>
      <c r="V155" s="110"/>
      <c r="W155" s="110"/>
      <c r="X155" s="110"/>
      <c r="Y155" s="110"/>
      <c r="Z155" s="116"/>
      <c r="AA155" s="117"/>
      <c r="AB155" s="117"/>
      <c r="AC155" s="117"/>
      <c r="AD155" s="117"/>
      <c r="AE155" s="118"/>
      <c r="AF155" s="118"/>
      <c r="AG155" s="119"/>
    </row>
    <row r="156">
      <c r="A156" s="110"/>
      <c r="B156" s="110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10"/>
      <c r="N156" s="110"/>
      <c r="O156" s="110"/>
      <c r="P156" s="113"/>
      <c r="Q156" s="110"/>
      <c r="R156" s="112"/>
      <c r="S156" s="110"/>
      <c r="T156" s="110"/>
      <c r="U156" s="110"/>
      <c r="V156" s="110"/>
      <c r="W156" s="110"/>
      <c r="X156" s="110"/>
      <c r="Y156" s="110"/>
      <c r="Z156" s="116"/>
      <c r="AA156" s="117"/>
      <c r="AB156" s="117"/>
      <c r="AC156" s="117"/>
      <c r="AD156" s="117"/>
      <c r="AE156" s="118"/>
      <c r="AF156" s="118"/>
      <c r="AG156" s="119"/>
    </row>
    <row r="157">
      <c r="A157" s="110"/>
      <c r="B157" s="110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10"/>
      <c r="N157" s="110"/>
      <c r="O157" s="110"/>
      <c r="P157" s="113"/>
      <c r="Q157" s="110"/>
      <c r="R157" s="112"/>
      <c r="S157" s="110"/>
      <c r="T157" s="110"/>
      <c r="U157" s="110"/>
      <c r="V157" s="110"/>
      <c r="W157" s="110"/>
      <c r="X157" s="110"/>
      <c r="Y157" s="110"/>
      <c r="Z157" s="116"/>
      <c r="AA157" s="117"/>
      <c r="AB157" s="117"/>
      <c r="AC157" s="117"/>
      <c r="AD157" s="117"/>
      <c r="AE157" s="118"/>
      <c r="AF157" s="118"/>
      <c r="AG157" s="119"/>
    </row>
    <row r="158">
      <c r="A158" s="110"/>
      <c r="B158" s="110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10"/>
      <c r="N158" s="110"/>
      <c r="O158" s="110"/>
      <c r="P158" s="113"/>
      <c r="Q158" s="110"/>
      <c r="R158" s="112"/>
      <c r="S158" s="110"/>
      <c r="T158" s="110"/>
      <c r="U158" s="110"/>
      <c r="V158" s="110"/>
      <c r="W158" s="110"/>
      <c r="X158" s="110"/>
      <c r="Y158" s="110"/>
      <c r="Z158" s="116"/>
      <c r="AA158" s="117"/>
      <c r="AB158" s="117"/>
      <c r="AC158" s="117"/>
      <c r="AD158" s="117"/>
      <c r="AE158" s="118"/>
      <c r="AF158" s="118"/>
      <c r="AG158" s="119"/>
    </row>
    <row r="159">
      <c r="A159" s="110"/>
      <c r="B159" s="110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10"/>
      <c r="N159" s="110"/>
      <c r="O159" s="110"/>
      <c r="P159" s="113"/>
      <c r="Q159" s="110"/>
      <c r="R159" s="112"/>
      <c r="S159" s="110"/>
      <c r="T159" s="110"/>
      <c r="U159" s="110"/>
      <c r="V159" s="110"/>
      <c r="W159" s="110"/>
      <c r="X159" s="110"/>
      <c r="Y159" s="110"/>
      <c r="Z159" s="116"/>
      <c r="AA159" s="117"/>
      <c r="AB159" s="117"/>
      <c r="AC159" s="117"/>
      <c r="AD159" s="117"/>
      <c r="AE159" s="118"/>
      <c r="AF159" s="118"/>
      <c r="AG159" s="119"/>
    </row>
    <row r="160">
      <c r="A160" s="110"/>
      <c r="B160" s="110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10"/>
      <c r="N160" s="110"/>
      <c r="O160" s="110"/>
      <c r="P160" s="113"/>
      <c r="Q160" s="110"/>
      <c r="R160" s="112"/>
      <c r="S160" s="110"/>
      <c r="T160" s="110"/>
      <c r="U160" s="110"/>
      <c r="V160" s="110"/>
      <c r="W160" s="110"/>
      <c r="X160" s="110"/>
      <c r="Y160" s="110"/>
      <c r="Z160" s="116"/>
      <c r="AA160" s="117"/>
      <c r="AB160" s="117"/>
      <c r="AC160" s="117"/>
      <c r="AD160" s="117"/>
      <c r="AE160" s="118"/>
      <c r="AF160" s="118"/>
      <c r="AG160" s="119"/>
    </row>
    <row r="161">
      <c r="A161" s="110"/>
      <c r="B161" s="110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10"/>
      <c r="N161" s="110"/>
      <c r="O161" s="110"/>
      <c r="P161" s="113"/>
      <c r="Q161" s="110"/>
      <c r="R161" s="112"/>
      <c r="S161" s="110"/>
      <c r="T161" s="110"/>
      <c r="U161" s="110"/>
      <c r="V161" s="110"/>
      <c r="W161" s="110"/>
      <c r="X161" s="110"/>
      <c r="Y161" s="110"/>
      <c r="Z161" s="116"/>
      <c r="AA161" s="117"/>
      <c r="AB161" s="117"/>
      <c r="AC161" s="117"/>
      <c r="AD161" s="117"/>
      <c r="AE161" s="118"/>
      <c r="AF161" s="118"/>
      <c r="AG161" s="119"/>
    </row>
    <row r="162">
      <c r="A162" s="110"/>
      <c r="B162" s="110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10"/>
      <c r="N162" s="110"/>
      <c r="O162" s="110"/>
      <c r="P162" s="113"/>
      <c r="Q162" s="110"/>
      <c r="R162" s="112"/>
      <c r="S162" s="110"/>
      <c r="T162" s="110"/>
      <c r="U162" s="110"/>
      <c r="V162" s="110"/>
      <c r="W162" s="110"/>
      <c r="X162" s="110"/>
      <c r="Y162" s="110"/>
      <c r="Z162" s="116"/>
      <c r="AA162" s="117"/>
      <c r="AB162" s="117"/>
      <c r="AC162" s="117"/>
      <c r="AD162" s="117"/>
      <c r="AE162" s="118"/>
      <c r="AF162" s="118"/>
      <c r="AG162" s="119"/>
    </row>
    <row r="163">
      <c r="A163" s="110"/>
      <c r="B163" s="110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10"/>
      <c r="N163" s="110"/>
      <c r="O163" s="110"/>
      <c r="P163" s="113"/>
      <c r="Q163" s="110"/>
      <c r="R163" s="112"/>
      <c r="S163" s="110"/>
      <c r="T163" s="110"/>
      <c r="U163" s="110"/>
      <c r="V163" s="110"/>
      <c r="W163" s="110"/>
      <c r="X163" s="110"/>
      <c r="Y163" s="110"/>
      <c r="Z163" s="116"/>
      <c r="AA163" s="117"/>
      <c r="AB163" s="117"/>
      <c r="AC163" s="117"/>
      <c r="AD163" s="117"/>
      <c r="AE163" s="118"/>
      <c r="AF163" s="118"/>
      <c r="AG163" s="119"/>
    </row>
    <row r="164">
      <c r="A164" s="110"/>
      <c r="B164" s="110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10"/>
      <c r="N164" s="110"/>
      <c r="O164" s="110"/>
      <c r="P164" s="113"/>
      <c r="Q164" s="110"/>
      <c r="R164" s="112"/>
      <c r="S164" s="110"/>
      <c r="T164" s="110"/>
      <c r="U164" s="110"/>
      <c r="V164" s="110"/>
      <c r="W164" s="110"/>
      <c r="X164" s="110"/>
      <c r="Y164" s="110"/>
      <c r="Z164" s="116"/>
      <c r="AA164" s="117"/>
      <c r="AB164" s="117"/>
      <c r="AC164" s="117"/>
      <c r="AD164" s="117"/>
      <c r="AE164" s="118"/>
      <c r="AF164" s="118"/>
      <c r="AG164" s="119"/>
    </row>
    <row r="165">
      <c r="A165" s="110"/>
      <c r="B165" s="110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10"/>
      <c r="N165" s="110"/>
      <c r="O165" s="110"/>
      <c r="P165" s="113"/>
      <c r="Q165" s="110"/>
      <c r="R165" s="112"/>
      <c r="S165" s="110"/>
      <c r="T165" s="110"/>
      <c r="U165" s="110"/>
      <c r="V165" s="110"/>
      <c r="W165" s="110"/>
      <c r="X165" s="110"/>
      <c r="Y165" s="110"/>
      <c r="Z165" s="116"/>
      <c r="AA165" s="117"/>
      <c r="AB165" s="117"/>
      <c r="AC165" s="117"/>
      <c r="AD165" s="117"/>
      <c r="AE165" s="118"/>
      <c r="AF165" s="118"/>
      <c r="AG165" s="119"/>
    </row>
    <row r="166">
      <c r="A166" s="110"/>
      <c r="B166" s="110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10"/>
      <c r="N166" s="110"/>
      <c r="O166" s="110"/>
      <c r="P166" s="113"/>
      <c r="Q166" s="110"/>
      <c r="R166" s="112"/>
      <c r="S166" s="110"/>
      <c r="T166" s="110"/>
      <c r="U166" s="110"/>
      <c r="V166" s="110"/>
      <c r="W166" s="110"/>
      <c r="X166" s="110"/>
      <c r="Y166" s="110"/>
      <c r="Z166" s="116"/>
      <c r="AA166" s="117"/>
      <c r="AB166" s="117"/>
      <c r="AC166" s="117"/>
      <c r="AD166" s="117"/>
      <c r="AE166" s="118"/>
      <c r="AF166" s="118"/>
      <c r="AG166" s="119"/>
    </row>
    <row r="167">
      <c r="A167" s="110"/>
      <c r="B167" s="110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10"/>
      <c r="N167" s="110"/>
      <c r="O167" s="110"/>
      <c r="P167" s="113"/>
      <c r="Q167" s="110"/>
      <c r="R167" s="112"/>
      <c r="S167" s="110"/>
      <c r="T167" s="110"/>
      <c r="U167" s="110"/>
      <c r="V167" s="110"/>
      <c r="W167" s="110"/>
      <c r="X167" s="110"/>
      <c r="Y167" s="110"/>
      <c r="Z167" s="116"/>
      <c r="AA167" s="117"/>
      <c r="AB167" s="117"/>
      <c r="AC167" s="117"/>
      <c r="AD167" s="117"/>
      <c r="AE167" s="118"/>
      <c r="AF167" s="118"/>
      <c r="AG167" s="119"/>
    </row>
    <row r="168">
      <c r="A168" s="110"/>
      <c r="B168" s="110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10"/>
      <c r="N168" s="110"/>
      <c r="O168" s="110"/>
      <c r="P168" s="113"/>
      <c r="Q168" s="110"/>
      <c r="R168" s="112"/>
      <c r="S168" s="110"/>
      <c r="T168" s="110"/>
      <c r="U168" s="110"/>
      <c r="V168" s="110"/>
      <c r="W168" s="110"/>
      <c r="X168" s="110"/>
      <c r="Y168" s="110"/>
      <c r="Z168" s="116"/>
      <c r="AA168" s="117"/>
      <c r="AB168" s="117"/>
      <c r="AC168" s="117"/>
      <c r="AD168" s="117"/>
      <c r="AE168" s="118"/>
      <c r="AF168" s="118"/>
      <c r="AG168" s="119"/>
    </row>
    <row r="169">
      <c r="A169" s="110"/>
      <c r="B169" s="110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10"/>
      <c r="N169" s="110"/>
      <c r="O169" s="110"/>
      <c r="P169" s="113"/>
      <c r="Q169" s="110"/>
      <c r="R169" s="112"/>
      <c r="S169" s="110"/>
      <c r="T169" s="110"/>
      <c r="U169" s="110"/>
      <c r="V169" s="110"/>
      <c r="W169" s="110"/>
      <c r="X169" s="110"/>
      <c r="Y169" s="110"/>
      <c r="Z169" s="116"/>
      <c r="AA169" s="117"/>
      <c r="AB169" s="117"/>
      <c r="AC169" s="117"/>
      <c r="AD169" s="117"/>
      <c r="AE169" s="118"/>
      <c r="AF169" s="118"/>
      <c r="AG169" s="119"/>
    </row>
    <row r="170">
      <c r="A170" s="110"/>
      <c r="B170" s="110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10"/>
      <c r="N170" s="110"/>
      <c r="O170" s="110"/>
      <c r="P170" s="113"/>
      <c r="Q170" s="110"/>
      <c r="R170" s="112"/>
      <c r="S170" s="110"/>
      <c r="T170" s="110"/>
      <c r="U170" s="110"/>
      <c r="V170" s="110"/>
      <c r="W170" s="110"/>
      <c r="X170" s="110"/>
      <c r="Y170" s="110"/>
      <c r="Z170" s="116"/>
      <c r="AA170" s="117"/>
      <c r="AB170" s="117"/>
      <c r="AC170" s="117"/>
      <c r="AD170" s="117"/>
      <c r="AE170" s="118"/>
      <c r="AF170" s="118"/>
      <c r="AG170" s="119"/>
    </row>
    <row r="171">
      <c r="A171" s="110"/>
      <c r="B171" s="110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10"/>
      <c r="N171" s="110"/>
      <c r="O171" s="110"/>
      <c r="P171" s="113"/>
      <c r="Q171" s="110"/>
      <c r="R171" s="112"/>
      <c r="S171" s="110"/>
      <c r="T171" s="110"/>
      <c r="U171" s="110"/>
      <c r="V171" s="110"/>
      <c r="W171" s="110"/>
      <c r="X171" s="110"/>
      <c r="Y171" s="110"/>
      <c r="Z171" s="116"/>
      <c r="AA171" s="117"/>
      <c r="AB171" s="117"/>
      <c r="AC171" s="117"/>
      <c r="AD171" s="117"/>
      <c r="AE171" s="118"/>
      <c r="AF171" s="118"/>
      <c r="AG171" s="119"/>
    </row>
    <row r="172">
      <c r="A172" s="110"/>
      <c r="B172" s="110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10"/>
      <c r="N172" s="110"/>
      <c r="O172" s="110"/>
      <c r="P172" s="113"/>
      <c r="Q172" s="110"/>
      <c r="R172" s="112"/>
      <c r="S172" s="110"/>
      <c r="T172" s="110"/>
      <c r="U172" s="110"/>
      <c r="V172" s="110"/>
      <c r="W172" s="110"/>
      <c r="X172" s="110"/>
      <c r="Y172" s="110"/>
      <c r="Z172" s="116"/>
      <c r="AA172" s="117"/>
      <c r="AB172" s="117"/>
      <c r="AC172" s="117"/>
      <c r="AD172" s="117"/>
      <c r="AE172" s="118"/>
      <c r="AF172" s="118"/>
      <c r="AG172" s="119"/>
    </row>
    <row r="173">
      <c r="A173" s="110"/>
      <c r="B173" s="110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10"/>
      <c r="N173" s="110"/>
      <c r="O173" s="110"/>
      <c r="P173" s="113"/>
      <c r="Q173" s="110"/>
      <c r="R173" s="112"/>
      <c r="S173" s="110"/>
      <c r="T173" s="110"/>
      <c r="U173" s="110"/>
      <c r="V173" s="110"/>
      <c r="W173" s="110"/>
      <c r="X173" s="110"/>
      <c r="Y173" s="110"/>
      <c r="Z173" s="116"/>
      <c r="AA173" s="117"/>
      <c r="AB173" s="117"/>
      <c r="AC173" s="117"/>
      <c r="AD173" s="117"/>
      <c r="AE173" s="118"/>
      <c r="AF173" s="118"/>
      <c r="AG173" s="119"/>
    </row>
    <row r="174">
      <c r="A174" s="110"/>
      <c r="B174" s="110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10"/>
      <c r="N174" s="110"/>
      <c r="O174" s="110"/>
      <c r="P174" s="113"/>
      <c r="Q174" s="110"/>
      <c r="R174" s="112"/>
      <c r="S174" s="110"/>
      <c r="T174" s="110"/>
      <c r="U174" s="110"/>
      <c r="V174" s="110"/>
      <c r="W174" s="110"/>
      <c r="X174" s="110"/>
      <c r="Y174" s="110"/>
      <c r="Z174" s="116"/>
      <c r="AA174" s="117"/>
      <c r="AB174" s="117"/>
      <c r="AC174" s="117"/>
      <c r="AD174" s="117"/>
      <c r="AE174" s="118"/>
      <c r="AF174" s="118"/>
      <c r="AG174" s="119"/>
    </row>
    <row r="175">
      <c r="A175" s="110"/>
      <c r="B175" s="110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10"/>
      <c r="N175" s="110"/>
      <c r="O175" s="110"/>
      <c r="P175" s="113"/>
      <c r="Q175" s="110"/>
      <c r="R175" s="112"/>
      <c r="S175" s="110"/>
      <c r="T175" s="110"/>
      <c r="U175" s="110"/>
      <c r="V175" s="110"/>
      <c r="W175" s="110"/>
      <c r="X175" s="110"/>
      <c r="Y175" s="110"/>
      <c r="Z175" s="116"/>
      <c r="AA175" s="117"/>
      <c r="AB175" s="117"/>
      <c r="AC175" s="117"/>
      <c r="AD175" s="117"/>
      <c r="AE175" s="118"/>
      <c r="AF175" s="118"/>
      <c r="AG175" s="119"/>
    </row>
    <row r="176">
      <c r="A176" s="110"/>
      <c r="B176" s="110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10"/>
      <c r="N176" s="110"/>
      <c r="O176" s="110"/>
      <c r="P176" s="113"/>
      <c r="Q176" s="110"/>
      <c r="R176" s="112"/>
      <c r="S176" s="110"/>
      <c r="T176" s="110"/>
      <c r="U176" s="110"/>
      <c r="V176" s="110"/>
      <c r="W176" s="110"/>
      <c r="X176" s="110"/>
      <c r="Y176" s="110"/>
      <c r="Z176" s="116"/>
      <c r="AA176" s="117"/>
      <c r="AB176" s="117"/>
      <c r="AC176" s="117"/>
      <c r="AD176" s="117"/>
      <c r="AE176" s="118"/>
      <c r="AF176" s="118"/>
      <c r="AG176" s="119"/>
    </row>
    <row r="177">
      <c r="A177" s="110"/>
      <c r="B177" s="110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10"/>
      <c r="N177" s="110"/>
      <c r="O177" s="110"/>
      <c r="P177" s="113"/>
      <c r="Q177" s="110"/>
      <c r="R177" s="112"/>
      <c r="S177" s="110"/>
      <c r="T177" s="110"/>
      <c r="U177" s="110"/>
      <c r="V177" s="110"/>
      <c r="W177" s="110"/>
      <c r="X177" s="110"/>
      <c r="Y177" s="110"/>
      <c r="Z177" s="116"/>
      <c r="AA177" s="117"/>
      <c r="AB177" s="117"/>
      <c r="AC177" s="117"/>
      <c r="AD177" s="117"/>
      <c r="AE177" s="118"/>
      <c r="AF177" s="118"/>
      <c r="AG177" s="119"/>
    </row>
    <row r="178">
      <c r="A178" s="110"/>
      <c r="B178" s="110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10"/>
      <c r="N178" s="110"/>
      <c r="O178" s="110"/>
      <c r="P178" s="113"/>
      <c r="Q178" s="110"/>
      <c r="R178" s="112"/>
      <c r="S178" s="110"/>
      <c r="T178" s="110"/>
      <c r="U178" s="110"/>
      <c r="V178" s="110"/>
      <c r="W178" s="110"/>
      <c r="X178" s="110"/>
      <c r="Y178" s="110"/>
      <c r="Z178" s="116"/>
      <c r="AA178" s="117"/>
      <c r="AB178" s="117"/>
      <c r="AC178" s="117"/>
      <c r="AD178" s="117"/>
      <c r="AE178" s="118"/>
      <c r="AF178" s="118"/>
      <c r="AG178" s="119"/>
    </row>
    <row r="179">
      <c r="A179" s="110"/>
      <c r="B179" s="110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10"/>
      <c r="N179" s="110"/>
      <c r="O179" s="110"/>
      <c r="P179" s="113"/>
      <c r="Q179" s="110"/>
      <c r="R179" s="112"/>
      <c r="S179" s="110"/>
      <c r="T179" s="110"/>
      <c r="U179" s="110"/>
      <c r="V179" s="110"/>
      <c r="W179" s="110"/>
      <c r="X179" s="110"/>
      <c r="Y179" s="110"/>
      <c r="Z179" s="116"/>
      <c r="AA179" s="117"/>
      <c r="AB179" s="117"/>
      <c r="AC179" s="117"/>
      <c r="AD179" s="117"/>
      <c r="AE179" s="118"/>
      <c r="AF179" s="118"/>
      <c r="AG179" s="119"/>
    </row>
    <row r="180">
      <c r="A180" s="110"/>
      <c r="B180" s="110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10"/>
      <c r="N180" s="110"/>
      <c r="O180" s="110"/>
      <c r="P180" s="113"/>
      <c r="Q180" s="110"/>
      <c r="R180" s="112"/>
      <c r="S180" s="110"/>
      <c r="T180" s="110"/>
      <c r="U180" s="110"/>
      <c r="V180" s="110"/>
      <c r="W180" s="110"/>
      <c r="X180" s="110"/>
      <c r="Y180" s="110"/>
      <c r="Z180" s="116"/>
      <c r="AA180" s="117"/>
      <c r="AB180" s="117"/>
      <c r="AC180" s="117"/>
      <c r="AD180" s="117"/>
      <c r="AE180" s="118"/>
      <c r="AF180" s="118"/>
      <c r="AG180" s="119"/>
    </row>
    <row r="181">
      <c r="A181" s="110"/>
      <c r="B181" s="110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10"/>
      <c r="N181" s="110"/>
      <c r="O181" s="110"/>
      <c r="P181" s="113"/>
      <c r="Q181" s="110"/>
      <c r="R181" s="112"/>
      <c r="S181" s="110"/>
      <c r="T181" s="110"/>
      <c r="U181" s="110"/>
      <c r="V181" s="110"/>
      <c r="W181" s="110"/>
      <c r="X181" s="110"/>
      <c r="Y181" s="110"/>
      <c r="Z181" s="116"/>
      <c r="AA181" s="117"/>
      <c r="AB181" s="117"/>
      <c r="AC181" s="117"/>
      <c r="AD181" s="117"/>
      <c r="AE181" s="118"/>
      <c r="AF181" s="118"/>
      <c r="AG181" s="119"/>
    </row>
    <row r="182">
      <c r="A182" s="110"/>
      <c r="B182" s="110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10"/>
      <c r="N182" s="110"/>
      <c r="O182" s="110"/>
      <c r="P182" s="113"/>
      <c r="Q182" s="110"/>
      <c r="R182" s="112"/>
      <c r="S182" s="110"/>
      <c r="T182" s="110"/>
      <c r="U182" s="110"/>
      <c r="V182" s="110"/>
      <c r="W182" s="110"/>
      <c r="X182" s="110"/>
      <c r="Y182" s="110"/>
      <c r="Z182" s="116"/>
      <c r="AA182" s="117"/>
      <c r="AB182" s="117"/>
      <c r="AC182" s="117"/>
      <c r="AD182" s="117"/>
      <c r="AE182" s="118"/>
      <c r="AF182" s="118"/>
      <c r="AG182" s="119"/>
    </row>
    <row r="183">
      <c r="A183" s="110"/>
      <c r="B183" s="110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10"/>
      <c r="N183" s="110"/>
      <c r="O183" s="110"/>
      <c r="P183" s="113"/>
      <c r="Q183" s="110"/>
      <c r="R183" s="112"/>
      <c r="S183" s="110"/>
      <c r="T183" s="110"/>
      <c r="U183" s="110"/>
      <c r="V183" s="110"/>
      <c r="W183" s="110"/>
      <c r="X183" s="110"/>
      <c r="Y183" s="110"/>
      <c r="Z183" s="116"/>
      <c r="AA183" s="117"/>
      <c r="AB183" s="117"/>
      <c r="AC183" s="117"/>
      <c r="AD183" s="117"/>
      <c r="AE183" s="118"/>
      <c r="AF183" s="118"/>
      <c r="AG183" s="119"/>
    </row>
    <row r="184">
      <c r="A184" s="110"/>
      <c r="B184" s="110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10"/>
      <c r="N184" s="110"/>
      <c r="O184" s="110"/>
      <c r="P184" s="113"/>
      <c r="Q184" s="110"/>
      <c r="R184" s="112"/>
      <c r="S184" s="110"/>
      <c r="T184" s="110"/>
      <c r="U184" s="110"/>
      <c r="V184" s="110"/>
      <c r="W184" s="110"/>
      <c r="X184" s="110"/>
      <c r="Y184" s="110"/>
      <c r="Z184" s="116"/>
      <c r="AA184" s="117"/>
      <c r="AB184" s="117"/>
      <c r="AC184" s="117"/>
      <c r="AD184" s="117"/>
      <c r="AE184" s="118"/>
      <c r="AF184" s="118"/>
      <c r="AG184" s="119"/>
    </row>
    <row r="185">
      <c r="A185" s="110"/>
      <c r="B185" s="110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10"/>
      <c r="N185" s="110"/>
      <c r="O185" s="110"/>
      <c r="P185" s="113"/>
      <c r="Q185" s="110"/>
      <c r="R185" s="112"/>
      <c r="S185" s="110"/>
      <c r="T185" s="110"/>
      <c r="U185" s="110"/>
      <c r="V185" s="110"/>
      <c r="W185" s="110"/>
      <c r="X185" s="110"/>
      <c r="Y185" s="110"/>
      <c r="Z185" s="116"/>
      <c r="AA185" s="117"/>
      <c r="AB185" s="117"/>
      <c r="AC185" s="117"/>
      <c r="AD185" s="117"/>
      <c r="AE185" s="118"/>
      <c r="AF185" s="118"/>
      <c r="AG185" s="119"/>
    </row>
    <row r="186">
      <c r="A186" s="110"/>
      <c r="B186" s="110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10"/>
      <c r="N186" s="110"/>
      <c r="O186" s="110"/>
      <c r="P186" s="113"/>
      <c r="Q186" s="110"/>
      <c r="R186" s="112"/>
      <c r="S186" s="110"/>
      <c r="T186" s="110"/>
      <c r="U186" s="110"/>
      <c r="V186" s="110"/>
      <c r="W186" s="110"/>
      <c r="X186" s="110"/>
      <c r="Y186" s="110"/>
      <c r="Z186" s="116"/>
      <c r="AA186" s="117"/>
      <c r="AB186" s="117"/>
      <c r="AC186" s="117"/>
      <c r="AD186" s="117"/>
      <c r="AE186" s="118"/>
      <c r="AF186" s="118"/>
      <c r="AG186" s="119"/>
    </row>
    <row r="187">
      <c r="A187" s="110"/>
      <c r="B187" s="110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10"/>
      <c r="N187" s="110"/>
      <c r="O187" s="110"/>
      <c r="P187" s="113"/>
      <c r="Q187" s="110"/>
      <c r="R187" s="112"/>
      <c r="S187" s="110"/>
      <c r="T187" s="110"/>
      <c r="U187" s="110"/>
      <c r="V187" s="110"/>
      <c r="W187" s="110"/>
      <c r="X187" s="110"/>
      <c r="Y187" s="110"/>
      <c r="Z187" s="116"/>
      <c r="AA187" s="117"/>
      <c r="AB187" s="117"/>
      <c r="AC187" s="117"/>
      <c r="AD187" s="117"/>
      <c r="AE187" s="118"/>
      <c r="AF187" s="118"/>
      <c r="AG187" s="119"/>
    </row>
    <row r="188">
      <c r="A188" s="110"/>
      <c r="B188" s="110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10"/>
      <c r="N188" s="110"/>
      <c r="O188" s="110"/>
      <c r="P188" s="113"/>
      <c r="Q188" s="110"/>
      <c r="R188" s="112"/>
      <c r="S188" s="110"/>
      <c r="T188" s="110"/>
      <c r="U188" s="110"/>
      <c r="V188" s="110"/>
      <c r="W188" s="110"/>
      <c r="X188" s="110"/>
      <c r="Y188" s="110"/>
      <c r="Z188" s="116"/>
      <c r="AA188" s="117"/>
      <c r="AB188" s="117"/>
      <c r="AC188" s="117"/>
      <c r="AD188" s="117"/>
      <c r="AE188" s="118"/>
      <c r="AF188" s="118"/>
      <c r="AG188" s="119"/>
    </row>
    <row r="189">
      <c r="A189" s="110"/>
      <c r="B189" s="110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10"/>
      <c r="N189" s="110"/>
      <c r="O189" s="110"/>
      <c r="P189" s="113"/>
      <c r="Q189" s="110"/>
      <c r="R189" s="112"/>
      <c r="S189" s="110"/>
      <c r="T189" s="110"/>
      <c r="U189" s="110"/>
      <c r="V189" s="110"/>
      <c r="W189" s="110"/>
      <c r="X189" s="110"/>
      <c r="Y189" s="110"/>
      <c r="Z189" s="116"/>
      <c r="AA189" s="117"/>
      <c r="AB189" s="117"/>
      <c r="AC189" s="117"/>
      <c r="AD189" s="117"/>
      <c r="AE189" s="118"/>
      <c r="AF189" s="118"/>
      <c r="AG189" s="119"/>
    </row>
    <row r="190">
      <c r="A190" s="110"/>
      <c r="B190" s="110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10"/>
      <c r="N190" s="110"/>
      <c r="O190" s="110"/>
      <c r="P190" s="113"/>
      <c r="Q190" s="110"/>
      <c r="R190" s="112"/>
      <c r="S190" s="110"/>
      <c r="T190" s="110"/>
      <c r="U190" s="110"/>
      <c r="V190" s="110"/>
      <c r="W190" s="110"/>
      <c r="X190" s="110"/>
      <c r="Y190" s="110"/>
      <c r="Z190" s="116"/>
      <c r="AA190" s="117"/>
      <c r="AB190" s="117"/>
      <c r="AC190" s="117"/>
      <c r="AD190" s="117"/>
      <c r="AE190" s="118"/>
      <c r="AF190" s="118"/>
      <c r="AG190" s="119"/>
    </row>
    <row r="191">
      <c r="A191" s="110"/>
      <c r="B191" s="110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10"/>
      <c r="N191" s="110"/>
      <c r="O191" s="110"/>
      <c r="P191" s="113"/>
      <c r="Q191" s="110"/>
      <c r="R191" s="112"/>
      <c r="S191" s="110"/>
      <c r="T191" s="110"/>
      <c r="U191" s="110"/>
      <c r="V191" s="110"/>
      <c r="W191" s="110"/>
      <c r="X191" s="110"/>
      <c r="Y191" s="110"/>
      <c r="Z191" s="116"/>
      <c r="AA191" s="117"/>
      <c r="AB191" s="117"/>
      <c r="AC191" s="117"/>
      <c r="AD191" s="117"/>
      <c r="AE191" s="118"/>
      <c r="AF191" s="118"/>
      <c r="AG191" s="119"/>
    </row>
    <row r="192">
      <c r="A192" s="110"/>
      <c r="B192" s="110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10"/>
      <c r="N192" s="110"/>
      <c r="O192" s="110"/>
      <c r="P192" s="113"/>
      <c r="Q192" s="110"/>
      <c r="R192" s="112"/>
      <c r="S192" s="110"/>
      <c r="T192" s="110"/>
      <c r="U192" s="110"/>
      <c r="V192" s="110"/>
      <c r="W192" s="110"/>
      <c r="X192" s="110"/>
      <c r="Y192" s="110"/>
      <c r="Z192" s="116"/>
      <c r="AA192" s="117"/>
      <c r="AB192" s="117"/>
      <c r="AC192" s="117"/>
      <c r="AD192" s="117"/>
      <c r="AE192" s="118"/>
      <c r="AF192" s="118"/>
      <c r="AG192" s="119"/>
    </row>
    <row r="193">
      <c r="A193" s="110"/>
      <c r="B193" s="110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10"/>
      <c r="N193" s="110"/>
      <c r="O193" s="110"/>
      <c r="P193" s="113"/>
      <c r="Q193" s="110"/>
      <c r="R193" s="112"/>
      <c r="S193" s="110"/>
      <c r="T193" s="110"/>
      <c r="U193" s="110"/>
      <c r="V193" s="110"/>
      <c r="W193" s="110"/>
      <c r="X193" s="110"/>
      <c r="Y193" s="110"/>
      <c r="Z193" s="116"/>
      <c r="AA193" s="117"/>
      <c r="AB193" s="117"/>
      <c r="AC193" s="117"/>
      <c r="AD193" s="117"/>
      <c r="AE193" s="118"/>
      <c r="AF193" s="118"/>
      <c r="AG193" s="119"/>
    </row>
    <row r="194">
      <c r="A194" s="110"/>
      <c r="B194" s="110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10"/>
      <c r="N194" s="110"/>
      <c r="O194" s="110"/>
      <c r="P194" s="113"/>
      <c r="Q194" s="110"/>
      <c r="R194" s="112"/>
      <c r="S194" s="110"/>
      <c r="T194" s="110"/>
      <c r="U194" s="110"/>
      <c r="V194" s="110"/>
      <c r="W194" s="110"/>
      <c r="X194" s="110"/>
      <c r="Y194" s="110"/>
      <c r="Z194" s="116"/>
      <c r="AA194" s="117"/>
      <c r="AB194" s="117"/>
      <c r="AC194" s="117"/>
      <c r="AD194" s="117"/>
      <c r="AE194" s="118"/>
      <c r="AF194" s="118"/>
      <c r="AG194" s="119"/>
    </row>
    <row r="195">
      <c r="A195" s="110"/>
      <c r="B195" s="110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10"/>
      <c r="N195" s="110"/>
      <c r="O195" s="110"/>
      <c r="P195" s="113"/>
      <c r="Q195" s="110"/>
      <c r="R195" s="112"/>
      <c r="S195" s="110"/>
      <c r="T195" s="110"/>
      <c r="U195" s="110"/>
      <c r="V195" s="110"/>
      <c r="W195" s="110"/>
      <c r="X195" s="110"/>
      <c r="Y195" s="110"/>
      <c r="Z195" s="116"/>
      <c r="AA195" s="117"/>
      <c r="AB195" s="117"/>
      <c r="AC195" s="117"/>
      <c r="AD195" s="117"/>
      <c r="AE195" s="118"/>
      <c r="AF195" s="118"/>
      <c r="AG195" s="119"/>
    </row>
    <row r="196">
      <c r="A196" s="110"/>
      <c r="B196" s="110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10"/>
      <c r="N196" s="110"/>
      <c r="O196" s="110"/>
      <c r="P196" s="113"/>
      <c r="Q196" s="110"/>
      <c r="R196" s="112"/>
      <c r="S196" s="110"/>
      <c r="T196" s="110"/>
      <c r="U196" s="110"/>
      <c r="V196" s="110"/>
      <c r="W196" s="110"/>
      <c r="X196" s="110"/>
      <c r="Y196" s="110"/>
      <c r="Z196" s="116"/>
      <c r="AA196" s="117"/>
      <c r="AB196" s="117"/>
      <c r="AC196" s="117"/>
      <c r="AD196" s="117"/>
      <c r="AE196" s="118"/>
      <c r="AF196" s="118"/>
      <c r="AG196" s="119"/>
    </row>
    <row r="197">
      <c r="A197" s="110"/>
      <c r="B197" s="110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10"/>
      <c r="N197" s="110"/>
      <c r="O197" s="110"/>
      <c r="P197" s="113"/>
      <c r="Q197" s="110"/>
      <c r="R197" s="112"/>
      <c r="S197" s="110"/>
      <c r="T197" s="110"/>
      <c r="U197" s="110"/>
      <c r="V197" s="110"/>
      <c r="W197" s="110"/>
      <c r="X197" s="110"/>
      <c r="Y197" s="110"/>
      <c r="Z197" s="116"/>
      <c r="AA197" s="117"/>
      <c r="AB197" s="117"/>
      <c r="AC197" s="117"/>
      <c r="AD197" s="117"/>
      <c r="AE197" s="118"/>
      <c r="AF197" s="118"/>
      <c r="AG197" s="119"/>
    </row>
    <row r="198">
      <c r="A198" s="110"/>
      <c r="B198" s="110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10"/>
      <c r="N198" s="110"/>
      <c r="O198" s="110"/>
      <c r="P198" s="113"/>
      <c r="Q198" s="110"/>
      <c r="R198" s="112"/>
      <c r="S198" s="110"/>
      <c r="T198" s="110"/>
      <c r="U198" s="110"/>
      <c r="V198" s="110"/>
      <c r="W198" s="110"/>
      <c r="X198" s="110"/>
      <c r="Y198" s="110"/>
      <c r="Z198" s="116"/>
      <c r="AA198" s="117"/>
      <c r="AB198" s="117"/>
      <c r="AC198" s="117"/>
      <c r="AD198" s="117"/>
      <c r="AE198" s="118"/>
      <c r="AF198" s="118"/>
      <c r="AG198" s="119"/>
    </row>
    <row r="199">
      <c r="A199" s="110"/>
      <c r="B199" s="110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10"/>
      <c r="N199" s="110"/>
      <c r="O199" s="110"/>
      <c r="P199" s="113"/>
      <c r="Q199" s="110"/>
      <c r="R199" s="112"/>
      <c r="S199" s="110"/>
      <c r="T199" s="110"/>
      <c r="U199" s="110"/>
      <c r="V199" s="110"/>
      <c r="W199" s="110"/>
      <c r="X199" s="110"/>
      <c r="Y199" s="110"/>
      <c r="Z199" s="116"/>
      <c r="AA199" s="117"/>
      <c r="AB199" s="117"/>
      <c r="AC199" s="117"/>
      <c r="AD199" s="117"/>
      <c r="AE199" s="118"/>
      <c r="AF199" s="118"/>
      <c r="AG199" s="119"/>
    </row>
    <row r="200">
      <c r="A200" s="110"/>
      <c r="B200" s="110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10"/>
      <c r="N200" s="110"/>
      <c r="O200" s="110"/>
      <c r="P200" s="113"/>
      <c r="Q200" s="110"/>
      <c r="R200" s="112"/>
      <c r="S200" s="110"/>
      <c r="T200" s="110"/>
      <c r="U200" s="110"/>
      <c r="V200" s="110"/>
      <c r="W200" s="110"/>
      <c r="X200" s="110"/>
      <c r="Y200" s="110"/>
      <c r="Z200" s="116"/>
      <c r="AA200" s="117"/>
      <c r="AB200" s="117"/>
      <c r="AC200" s="117"/>
      <c r="AD200" s="117"/>
      <c r="AE200" s="118"/>
      <c r="AF200" s="118"/>
      <c r="AG200" s="119"/>
    </row>
    <row r="201"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P201" s="121"/>
      <c r="R201" s="122"/>
      <c r="AE201" s="123"/>
      <c r="AF201" s="123"/>
      <c r="AG201" s="119"/>
    </row>
    <row r="202"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P202" s="121"/>
      <c r="R202" s="122"/>
      <c r="AE202" s="123"/>
      <c r="AF202" s="123"/>
      <c r="AG202" s="119"/>
    </row>
    <row r="203"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P203" s="121"/>
      <c r="R203" s="122"/>
      <c r="AE203" s="123"/>
      <c r="AF203" s="123"/>
      <c r="AG203" s="119"/>
    </row>
    <row r="204"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P204" s="121"/>
      <c r="R204" s="122"/>
      <c r="AE204" s="123"/>
      <c r="AF204" s="123"/>
      <c r="AG204" s="119"/>
    </row>
    <row r="205"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P205" s="121"/>
      <c r="R205" s="122"/>
      <c r="AE205" s="123"/>
      <c r="AF205" s="123"/>
      <c r="AG205" s="119"/>
    </row>
    <row r="206"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P206" s="121"/>
      <c r="R206" s="122"/>
      <c r="AE206" s="123"/>
      <c r="AF206" s="123"/>
      <c r="AG206" s="119"/>
    </row>
    <row r="207"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P207" s="121"/>
      <c r="R207" s="122"/>
      <c r="AE207" s="123"/>
      <c r="AF207" s="123"/>
      <c r="AG207" s="119"/>
    </row>
    <row r="208"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P208" s="121"/>
      <c r="R208" s="122"/>
      <c r="AE208" s="123"/>
      <c r="AF208" s="123"/>
      <c r="AG208" s="119"/>
    </row>
    <row r="209"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P209" s="121"/>
      <c r="R209" s="122"/>
      <c r="AE209" s="123"/>
      <c r="AF209" s="123"/>
      <c r="AG209" s="119"/>
    </row>
    <row r="210"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P210" s="121"/>
      <c r="R210" s="122"/>
      <c r="AE210" s="123"/>
      <c r="AF210" s="123"/>
      <c r="AG210" s="119"/>
    </row>
    <row r="211"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P211" s="121"/>
      <c r="R211" s="122"/>
      <c r="AE211" s="123"/>
      <c r="AF211" s="123"/>
      <c r="AG211" s="119"/>
    </row>
    <row r="212"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P212" s="121"/>
      <c r="R212" s="122"/>
      <c r="AE212" s="123"/>
      <c r="AF212" s="123"/>
      <c r="AG212" s="119"/>
    </row>
    <row r="213"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P213" s="121"/>
      <c r="R213" s="122"/>
      <c r="AE213" s="123"/>
      <c r="AF213" s="123"/>
      <c r="AG213" s="119"/>
    </row>
    <row r="214"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P214" s="121"/>
      <c r="R214" s="122"/>
      <c r="AE214" s="123"/>
      <c r="AF214" s="123"/>
      <c r="AG214" s="119"/>
    </row>
    <row r="215"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P215" s="121"/>
      <c r="R215" s="122"/>
      <c r="AE215" s="123"/>
      <c r="AF215" s="123"/>
      <c r="AG215" s="119"/>
    </row>
    <row r="216"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P216" s="121"/>
      <c r="R216" s="122"/>
      <c r="AE216" s="123"/>
      <c r="AF216" s="123"/>
      <c r="AG216" s="119"/>
    </row>
    <row r="217"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P217" s="121"/>
      <c r="R217" s="122"/>
      <c r="AE217" s="123"/>
      <c r="AF217" s="123"/>
      <c r="AG217" s="119"/>
    </row>
    <row r="218"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P218" s="121"/>
      <c r="R218" s="122"/>
      <c r="AE218" s="123"/>
      <c r="AF218" s="123"/>
      <c r="AG218" s="119"/>
    </row>
    <row r="219"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P219" s="121"/>
      <c r="R219" s="122"/>
      <c r="AE219" s="123"/>
      <c r="AF219" s="123"/>
      <c r="AG219" s="119"/>
    </row>
    <row r="220"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P220" s="121"/>
      <c r="R220" s="122"/>
      <c r="AE220" s="123"/>
      <c r="AF220" s="123"/>
      <c r="AG220" s="119"/>
    </row>
    <row r="221"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P221" s="121"/>
      <c r="R221" s="122"/>
      <c r="AE221" s="123"/>
      <c r="AF221" s="123"/>
      <c r="AG221" s="119"/>
    </row>
    <row r="222"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P222" s="121"/>
      <c r="R222" s="122"/>
      <c r="AE222" s="123"/>
      <c r="AF222" s="123"/>
      <c r="AG222" s="119"/>
    </row>
    <row r="223"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P223" s="121"/>
      <c r="R223" s="122"/>
      <c r="AE223" s="123"/>
      <c r="AF223" s="123"/>
      <c r="AG223" s="119"/>
    </row>
    <row r="224"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P224" s="121"/>
      <c r="R224" s="122"/>
      <c r="AE224" s="123"/>
      <c r="AF224" s="123"/>
      <c r="AG224" s="119"/>
    </row>
    <row r="225"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P225" s="121"/>
      <c r="R225" s="122"/>
      <c r="AE225" s="123"/>
      <c r="AF225" s="123"/>
      <c r="AG225" s="119"/>
    </row>
    <row r="226"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P226" s="121"/>
      <c r="R226" s="122"/>
      <c r="AE226" s="123"/>
      <c r="AF226" s="123"/>
      <c r="AG226" s="119"/>
    </row>
    <row r="227"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P227" s="121"/>
      <c r="R227" s="122"/>
      <c r="AE227" s="123"/>
      <c r="AF227" s="123"/>
      <c r="AG227" s="119"/>
    </row>
    <row r="228"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P228" s="121"/>
      <c r="R228" s="122"/>
      <c r="AE228" s="123"/>
      <c r="AF228" s="123"/>
      <c r="AG228" s="119"/>
    </row>
    <row r="229"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P229" s="121"/>
      <c r="R229" s="122"/>
      <c r="AE229" s="123"/>
      <c r="AF229" s="123"/>
      <c r="AG229" s="119"/>
    </row>
    <row r="230"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P230" s="121"/>
      <c r="R230" s="122"/>
      <c r="AE230" s="123"/>
      <c r="AF230" s="123"/>
      <c r="AG230" s="119"/>
    </row>
    <row r="231"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P231" s="121"/>
      <c r="R231" s="122"/>
      <c r="AE231" s="123"/>
      <c r="AF231" s="123"/>
      <c r="AG231" s="119"/>
    </row>
    <row r="232"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P232" s="121"/>
      <c r="R232" s="122"/>
      <c r="AE232" s="123"/>
      <c r="AF232" s="123"/>
      <c r="AG232" s="119"/>
    </row>
    <row r="233"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P233" s="121"/>
      <c r="R233" s="122"/>
      <c r="AE233" s="123"/>
      <c r="AF233" s="123"/>
      <c r="AG233" s="119"/>
    </row>
    <row r="234"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P234" s="121"/>
      <c r="R234" s="122"/>
      <c r="AE234" s="123"/>
      <c r="AF234" s="123"/>
      <c r="AG234" s="119"/>
    </row>
    <row r="235"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P235" s="121"/>
      <c r="R235" s="122"/>
      <c r="AE235" s="123"/>
      <c r="AF235" s="123"/>
      <c r="AG235" s="119"/>
    </row>
    <row r="236"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P236" s="121"/>
      <c r="R236" s="122"/>
      <c r="AE236" s="123"/>
      <c r="AF236" s="123"/>
      <c r="AG236" s="119"/>
    </row>
    <row r="237"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P237" s="121"/>
      <c r="R237" s="122"/>
      <c r="AE237" s="123"/>
      <c r="AF237" s="123"/>
      <c r="AG237" s="119"/>
    </row>
    <row r="238"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P238" s="121"/>
      <c r="R238" s="122"/>
      <c r="AE238" s="123"/>
      <c r="AF238" s="123"/>
      <c r="AG238" s="119"/>
    </row>
    <row r="239"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P239" s="121"/>
      <c r="R239" s="122"/>
      <c r="AE239" s="123"/>
      <c r="AF239" s="123"/>
      <c r="AG239" s="119"/>
    </row>
    <row r="240"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P240" s="121"/>
      <c r="R240" s="122"/>
      <c r="AE240" s="123"/>
      <c r="AF240" s="123"/>
      <c r="AG240" s="119"/>
    </row>
    <row r="241"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P241" s="121"/>
      <c r="R241" s="122"/>
      <c r="AE241" s="123"/>
      <c r="AF241" s="123"/>
      <c r="AG241" s="119"/>
    </row>
    <row r="242"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P242" s="121"/>
      <c r="R242" s="122"/>
      <c r="AE242" s="123"/>
      <c r="AF242" s="123"/>
      <c r="AG242" s="119"/>
    </row>
    <row r="243"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P243" s="121"/>
      <c r="R243" s="122"/>
      <c r="AE243" s="123"/>
      <c r="AF243" s="123"/>
      <c r="AG243" s="119"/>
    </row>
    <row r="244"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P244" s="121"/>
      <c r="R244" s="122"/>
      <c r="AE244" s="123"/>
      <c r="AF244" s="123"/>
      <c r="AG244" s="119"/>
    </row>
    <row r="245"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P245" s="121"/>
      <c r="R245" s="122"/>
      <c r="AE245" s="123"/>
      <c r="AF245" s="123"/>
      <c r="AG245" s="119"/>
    </row>
    <row r="246"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P246" s="121"/>
      <c r="R246" s="122"/>
      <c r="AE246" s="123"/>
      <c r="AF246" s="123"/>
      <c r="AG246" s="119"/>
    </row>
    <row r="247"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P247" s="121"/>
      <c r="R247" s="122"/>
      <c r="AE247" s="123"/>
      <c r="AF247" s="123"/>
      <c r="AG247" s="119"/>
    </row>
    <row r="248"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P248" s="121"/>
      <c r="R248" s="122"/>
      <c r="AE248" s="123"/>
      <c r="AF248" s="123"/>
      <c r="AG248" s="119"/>
    </row>
    <row r="249"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P249" s="121"/>
      <c r="R249" s="122"/>
      <c r="AE249" s="123"/>
      <c r="AF249" s="123"/>
      <c r="AG249" s="119"/>
    </row>
    <row r="250"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P250" s="121"/>
      <c r="R250" s="122"/>
      <c r="AE250" s="123"/>
      <c r="AF250" s="123"/>
      <c r="AG250" s="119"/>
    </row>
    <row r="251"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P251" s="121"/>
      <c r="R251" s="122"/>
      <c r="AE251" s="123"/>
      <c r="AF251" s="123"/>
      <c r="AG251" s="119"/>
    </row>
    <row r="252"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P252" s="121"/>
      <c r="R252" s="122"/>
      <c r="AE252" s="123"/>
      <c r="AF252" s="123"/>
      <c r="AG252" s="119"/>
    </row>
    <row r="253"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P253" s="121"/>
      <c r="R253" s="122"/>
      <c r="AE253" s="123"/>
      <c r="AF253" s="123"/>
      <c r="AG253" s="119"/>
    </row>
    <row r="254"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P254" s="121"/>
      <c r="R254" s="122"/>
      <c r="AE254" s="123"/>
      <c r="AF254" s="123"/>
      <c r="AG254" s="119"/>
    </row>
    <row r="255"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P255" s="121"/>
      <c r="R255" s="122"/>
      <c r="AE255" s="123"/>
      <c r="AF255" s="123"/>
      <c r="AG255" s="119"/>
    </row>
    <row r="256"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P256" s="121"/>
      <c r="R256" s="122"/>
      <c r="AE256" s="123"/>
      <c r="AF256" s="123"/>
      <c r="AG256" s="119"/>
    </row>
    <row r="257"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P257" s="121"/>
      <c r="R257" s="122"/>
      <c r="AE257" s="123"/>
      <c r="AF257" s="123"/>
      <c r="AG257" s="119"/>
    </row>
    <row r="258"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P258" s="121"/>
      <c r="R258" s="122"/>
      <c r="AE258" s="123"/>
      <c r="AF258" s="123"/>
      <c r="AG258" s="119"/>
    </row>
    <row r="259"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P259" s="121"/>
      <c r="R259" s="122"/>
      <c r="AE259" s="123"/>
      <c r="AF259" s="123"/>
      <c r="AG259" s="119"/>
    </row>
    <row r="260"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P260" s="121"/>
      <c r="R260" s="122"/>
      <c r="AE260" s="123"/>
      <c r="AF260" s="123"/>
      <c r="AG260" s="119"/>
    </row>
    <row r="261"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P261" s="121"/>
      <c r="R261" s="122"/>
      <c r="AE261" s="123"/>
      <c r="AF261" s="123"/>
      <c r="AG261" s="119"/>
    </row>
    <row r="262"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P262" s="121"/>
      <c r="R262" s="122"/>
      <c r="AE262" s="123"/>
      <c r="AF262" s="123"/>
      <c r="AG262" s="119"/>
    </row>
    <row r="263"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P263" s="121"/>
      <c r="R263" s="122"/>
      <c r="AE263" s="123"/>
      <c r="AF263" s="123"/>
      <c r="AG263" s="119"/>
    </row>
    <row r="264"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P264" s="121"/>
      <c r="R264" s="122"/>
      <c r="AE264" s="123"/>
      <c r="AF264" s="123"/>
      <c r="AG264" s="119"/>
    </row>
    <row r="265"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P265" s="121"/>
      <c r="R265" s="122"/>
      <c r="AE265" s="123"/>
      <c r="AF265" s="123"/>
      <c r="AG265" s="119"/>
    </row>
    <row r="266"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P266" s="121"/>
      <c r="R266" s="122"/>
      <c r="AE266" s="123"/>
      <c r="AF266" s="123"/>
      <c r="AG266" s="119"/>
    </row>
    <row r="267"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P267" s="121"/>
      <c r="R267" s="122"/>
      <c r="AE267" s="123"/>
      <c r="AF267" s="123"/>
      <c r="AG267" s="119"/>
    </row>
    <row r="268"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P268" s="121"/>
      <c r="R268" s="122"/>
      <c r="AE268" s="123"/>
      <c r="AF268" s="123"/>
      <c r="AG268" s="119"/>
    </row>
    <row r="269"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P269" s="121"/>
      <c r="R269" s="122"/>
      <c r="AE269" s="123"/>
      <c r="AF269" s="123"/>
      <c r="AG269" s="119"/>
    </row>
    <row r="270"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P270" s="121"/>
      <c r="R270" s="122"/>
      <c r="AE270" s="123"/>
      <c r="AF270" s="123"/>
      <c r="AG270" s="119"/>
    </row>
    <row r="271"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P271" s="121"/>
      <c r="R271" s="122"/>
      <c r="AE271" s="123"/>
      <c r="AF271" s="123"/>
      <c r="AG271" s="119"/>
    </row>
    <row r="272"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P272" s="121"/>
      <c r="R272" s="122"/>
      <c r="AE272" s="123"/>
      <c r="AF272" s="123"/>
      <c r="AG272" s="119"/>
    </row>
    <row r="273"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P273" s="121"/>
      <c r="R273" s="122"/>
      <c r="AE273" s="123"/>
      <c r="AF273" s="123"/>
      <c r="AG273" s="119"/>
    </row>
    <row r="274"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P274" s="121"/>
      <c r="R274" s="122"/>
      <c r="AE274" s="123"/>
      <c r="AF274" s="123"/>
      <c r="AG274" s="119"/>
    </row>
    <row r="275"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P275" s="121"/>
      <c r="R275" s="122"/>
      <c r="AE275" s="123"/>
      <c r="AF275" s="123"/>
      <c r="AG275" s="119"/>
    </row>
    <row r="276"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P276" s="121"/>
      <c r="R276" s="122"/>
      <c r="AE276" s="123"/>
      <c r="AF276" s="123"/>
      <c r="AG276" s="119"/>
    </row>
    <row r="277"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P277" s="121"/>
      <c r="R277" s="122"/>
      <c r="AE277" s="123"/>
      <c r="AF277" s="123"/>
      <c r="AG277" s="119"/>
    </row>
    <row r="278"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P278" s="121"/>
      <c r="R278" s="122"/>
      <c r="AE278" s="123"/>
      <c r="AF278" s="123"/>
      <c r="AG278" s="119"/>
    </row>
    <row r="279"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P279" s="121"/>
      <c r="R279" s="122"/>
      <c r="AE279" s="123"/>
      <c r="AF279" s="123"/>
      <c r="AG279" s="119"/>
    </row>
    <row r="280"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P280" s="121"/>
      <c r="R280" s="122"/>
      <c r="AE280" s="123"/>
      <c r="AF280" s="123"/>
      <c r="AG280" s="119"/>
    </row>
    <row r="281"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P281" s="121"/>
      <c r="R281" s="122"/>
      <c r="AE281" s="123"/>
      <c r="AF281" s="123"/>
      <c r="AG281" s="119"/>
    </row>
    <row r="282"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P282" s="121"/>
      <c r="R282" s="122"/>
      <c r="AE282" s="123"/>
      <c r="AF282" s="123"/>
      <c r="AG282" s="119"/>
    </row>
    <row r="283"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P283" s="121"/>
      <c r="R283" s="122"/>
      <c r="AE283" s="123"/>
      <c r="AF283" s="123"/>
      <c r="AG283" s="119"/>
    </row>
    <row r="284"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P284" s="121"/>
      <c r="R284" s="122"/>
      <c r="AE284" s="123"/>
      <c r="AF284" s="123"/>
      <c r="AG284" s="119"/>
    </row>
    <row r="285"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P285" s="121"/>
      <c r="R285" s="122"/>
      <c r="AE285" s="123"/>
      <c r="AF285" s="123"/>
      <c r="AG285" s="119"/>
    </row>
    <row r="286"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P286" s="121"/>
      <c r="R286" s="122"/>
      <c r="AE286" s="123"/>
      <c r="AF286" s="123"/>
      <c r="AG286" s="119"/>
    </row>
    <row r="287"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P287" s="121"/>
      <c r="R287" s="122"/>
      <c r="AE287" s="123"/>
      <c r="AF287" s="123"/>
      <c r="AG287" s="119"/>
    </row>
    <row r="288"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P288" s="121"/>
      <c r="R288" s="122"/>
      <c r="AE288" s="123"/>
      <c r="AF288" s="123"/>
      <c r="AG288" s="119"/>
    </row>
    <row r="289"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P289" s="121"/>
      <c r="R289" s="122"/>
      <c r="AE289" s="123"/>
      <c r="AF289" s="123"/>
      <c r="AG289" s="119"/>
    </row>
    <row r="290"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P290" s="121"/>
      <c r="R290" s="122"/>
      <c r="AE290" s="123"/>
      <c r="AF290" s="123"/>
      <c r="AG290" s="119"/>
    </row>
    <row r="291"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P291" s="121"/>
      <c r="R291" s="122"/>
      <c r="AE291" s="123"/>
      <c r="AF291" s="123"/>
      <c r="AG291" s="119"/>
    </row>
    <row r="292"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P292" s="121"/>
      <c r="R292" s="122"/>
      <c r="AE292" s="123"/>
      <c r="AF292" s="123"/>
      <c r="AG292" s="119"/>
    </row>
    <row r="293"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P293" s="121"/>
      <c r="R293" s="122"/>
      <c r="AE293" s="123"/>
      <c r="AF293" s="123"/>
      <c r="AG293" s="119"/>
    </row>
    <row r="294"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P294" s="121"/>
      <c r="R294" s="122"/>
      <c r="AE294" s="123"/>
      <c r="AF294" s="123"/>
      <c r="AG294" s="119"/>
    </row>
    <row r="295"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P295" s="121"/>
      <c r="R295" s="122"/>
      <c r="AE295" s="123"/>
      <c r="AF295" s="123"/>
      <c r="AG295" s="119"/>
    </row>
    <row r="296"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P296" s="121"/>
      <c r="R296" s="122"/>
      <c r="AE296" s="123"/>
      <c r="AF296" s="123"/>
      <c r="AG296" s="119"/>
    </row>
    <row r="297"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P297" s="121"/>
      <c r="R297" s="122"/>
      <c r="AE297" s="123"/>
      <c r="AF297" s="123"/>
      <c r="AG297" s="119"/>
    </row>
    <row r="298"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P298" s="121"/>
      <c r="R298" s="122"/>
      <c r="AE298" s="123"/>
      <c r="AF298" s="123"/>
      <c r="AG298" s="119"/>
    </row>
    <row r="299"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P299" s="121"/>
      <c r="R299" s="122"/>
      <c r="AE299" s="123"/>
      <c r="AF299" s="123"/>
      <c r="AG299" s="119"/>
    </row>
    <row r="300"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P300" s="121"/>
      <c r="R300" s="122"/>
      <c r="AE300" s="123"/>
      <c r="AF300" s="123"/>
      <c r="AG300" s="119"/>
    </row>
    <row r="301"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P301" s="121"/>
      <c r="R301" s="122"/>
      <c r="AE301" s="123"/>
      <c r="AF301" s="123"/>
      <c r="AG301" s="119"/>
    </row>
    <row r="302"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P302" s="121"/>
      <c r="R302" s="122"/>
      <c r="AE302" s="123"/>
      <c r="AF302" s="123"/>
      <c r="AG302" s="119"/>
    </row>
    <row r="303"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P303" s="121"/>
      <c r="R303" s="122"/>
      <c r="AE303" s="123"/>
      <c r="AF303" s="123"/>
      <c r="AG303" s="119"/>
    </row>
    <row r="304"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P304" s="121"/>
      <c r="R304" s="122"/>
      <c r="AE304" s="123"/>
      <c r="AF304" s="123"/>
      <c r="AG304" s="119"/>
    </row>
    <row r="305"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P305" s="121"/>
      <c r="R305" s="122"/>
      <c r="AE305" s="123"/>
      <c r="AF305" s="123"/>
      <c r="AG305" s="119"/>
    </row>
    <row r="306"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P306" s="121"/>
      <c r="R306" s="122"/>
      <c r="AE306" s="123"/>
      <c r="AF306" s="123"/>
      <c r="AG306" s="119"/>
    </row>
    <row r="307"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P307" s="121"/>
      <c r="R307" s="122"/>
      <c r="AE307" s="123"/>
      <c r="AF307" s="123"/>
      <c r="AG307" s="119"/>
    </row>
    <row r="308"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P308" s="121"/>
      <c r="R308" s="122"/>
      <c r="AE308" s="123"/>
      <c r="AF308" s="123"/>
      <c r="AG308" s="119"/>
    </row>
    <row r="309"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P309" s="121"/>
      <c r="R309" s="122"/>
      <c r="AE309" s="123"/>
      <c r="AF309" s="123"/>
      <c r="AG309" s="119"/>
    </row>
    <row r="310"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P310" s="121"/>
      <c r="R310" s="122"/>
      <c r="AE310" s="123"/>
      <c r="AF310" s="123"/>
      <c r="AG310" s="119"/>
    </row>
    <row r="311"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P311" s="121"/>
      <c r="R311" s="122"/>
      <c r="AE311" s="123"/>
      <c r="AF311" s="123"/>
      <c r="AG311" s="119"/>
    </row>
    <row r="312"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P312" s="121"/>
      <c r="R312" s="122"/>
      <c r="AE312" s="123"/>
      <c r="AF312" s="123"/>
      <c r="AG312" s="119"/>
    </row>
    <row r="313"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P313" s="121"/>
      <c r="R313" s="122"/>
      <c r="AE313" s="123"/>
      <c r="AF313" s="123"/>
      <c r="AG313" s="119"/>
    </row>
    <row r="314"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P314" s="121"/>
      <c r="R314" s="122"/>
      <c r="AE314" s="123"/>
      <c r="AF314" s="123"/>
      <c r="AG314" s="119"/>
    </row>
    <row r="315"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P315" s="121"/>
      <c r="R315" s="122"/>
      <c r="AE315" s="123"/>
      <c r="AF315" s="123"/>
      <c r="AG315" s="119"/>
    </row>
    <row r="316"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P316" s="121"/>
      <c r="R316" s="122"/>
      <c r="AE316" s="123"/>
      <c r="AF316" s="123"/>
      <c r="AG316" s="119"/>
    </row>
    <row r="317"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P317" s="121"/>
      <c r="R317" s="122"/>
      <c r="AE317" s="123"/>
      <c r="AF317" s="123"/>
      <c r="AG317" s="119"/>
    </row>
    <row r="318"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P318" s="121"/>
      <c r="R318" s="122"/>
      <c r="AE318" s="123"/>
      <c r="AF318" s="123"/>
      <c r="AG318" s="119"/>
    </row>
    <row r="319"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P319" s="121"/>
      <c r="R319" s="122"/>
      <c r="AE319" s="123"/>
      <c r="AF319" s="123"/>
      <c r="AG319" s="119"/>
    </row>
    <row r="320"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P320" s="121"/>
      <c r="R320" s="122"/>
      <c r="AE320" s="123"/>
      <c r="AF320" s="123"/>
      <c r="AG320" s="119"/>
    </row>
    <row r="321"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P321" s="121"/>
      <c r="R321" s="122"/>
      <c r="AE321" s="123"/>
      <c r="AF321" s="123"/>
      <c r="AG321" s="119"/>
    </row>
    <row r="322"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P322" s="121"/>
      <c r="R322" s="122"/>
      <c r="AE322" s="123"/>
      <c r="AF322" s="123"/>
      <c r="AG322" s="119"/>
    </row>
    <row r="323"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P323" s="121"/>
      <c r="R323" s="122"/>
      <c r="AE323" s="123"/>
      <c r="AF323" s="123"/>
      <c r="AG323" s="119"/>
    </row>
    <row r="324"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P324" s="121"/>
      <c r="R324" s="122"/>
      <c r="AE324" s="123"/>
      <c r="AF324" s="123"/>
      <c r="AG324" s="119"/>
    </row>
    <row r="325"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P325" s="121"/>
      <c r="R325" s="122"/>
      <c r="AE325" s="123"/>
      <c r="AF325" s="123"/>
      <c r="AG325" s="119"/>
    </row>
    <row r="326"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P326" s="121"/>
      <c r="R326" s="122"/>
      <c r="AE326" s="123"/>
      <c r="AF326" s="123"/>
      <c r="AG326" s="119"/>
    </row>
    <row r="327"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P327" s="121"/>
      <c r="R327" s="122"/>
      <c r="AE327" s="123"/>
      <c r="AF327" s="123"/>
      <c r="AG327" s="119"/>
    </row>
    <row r="328"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P328" s="121"/>
      <c r="R328" s="122"/>
      <c r="AE328" s="123"/>
      <c r="AF328" s="123"/>
      <c r="AG328" s="119"/>
    </row>
    <row r="329"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P329" s="121"/>
      <c r="R329" s="122"/>
      <c r="AE329" s="123"/>
      <c r="AF329" s="123"/>
      <c r="AG329" s="119"/>
    </row>
    <row r="330"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P330" s="121"/>
      <c r="R330" s="122"/>
      <c r="AE330" s="123"/>
      <c r="AF330" s="123"/>
      <c r="AG330" s="119"/>
    </row>
    <row r="331"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P331" s="121"/>
      <c r="R331" s="122"/>
      <c r="AE331" s="123"/>
      <c r="AF331" s="123"/>
      <c r="AG331" s="119"/>
    </row>
    <row r="332"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P332" s="121"/>
      <c r="R332" s="122"/>
      <c r="AE332" s="123"/>
      <c r="AF332" s="123"/>
      <c r="AG332" s="119"/>
    </row>
    <row r="333"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P333" s="121"/>
      <c r="R333" s="122"/>
      <c r="AE333" s="123"/>
      <c r="AF333" s="123"/>
      <c r="AG333" s="119"/>
    </row>
    <row r="334"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P334" s="121"/>
      <c r="R334" s="122"/>
      <c r="AE334" s="123"/>
      <c r="AF334" s="123"/>
      <c r="AG334" s="119"/>
    </row>
    <row r="335"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P335" s="121"/>
      <c r="R335" s="122"/>
      <c r="AE335" s="123"/>
      <c r="AF335" s="123"/>
      <c r="AG335" s="119"/>
    </row>
    <row r="336"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P336" s="121"/>
      <c r="R336" s="122"/>
      <c r="AE336" s="123"/>
      <c r="AF336" s="123"/>
      <c r="AG336" s="119"/>
    </row>
    <row r="337"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P337" s="121"/>
      <c r="R337" s="122"/>
      <c r="AE337" s="123"/>
      <c r="AF337" s="123"/>
      <c r="AG337" s="119"/>
    </row>
    <row r="338"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P338" s="121"/>
      <c r="R338" s="122"/>
      <c r="AE338" s="123"/>
      <c r="AF338" s="123"/>
      <c r="AG338" s="119"/>
    </row>
    <row r="339"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P339" s="121"/>
      <c r="R339" s="122"/>
      <c r="AE339" s="123"/>
      <c r="AF339" s="123"/>
      <c r="AG339" s="119"/>
    </row>
    <row r="340"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P340" s="121"/>
      <c r="R340" s="122"/>
      <c r="AE340" s="123"/>
      <c r="AF340" s="123"/>
      <c r="AG340" s="119"/>
    </row>
    <row r="341"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P341" s="121"/>
      <c r="R341" s="122"/>
      <c r="AE341" s="123"/>
      <c r="AF341" s="123"/>
      <c r="AG341" s="119"/>
    </row>
    <row r="342"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P342" s="121"/>
      <c r="R342" s="122"/>
      <c r="AE342" s="123"/>
      <c r="AF342" s="123"/>
      <c r="AG342" s="119"/>
    </row>
    <row r="343"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P343" s="121"/>
      <c r="R343" s="122"/>
      <c r="AE343" s="123"/>
      <c r="AF343" s="123"/>
      <c r="AG343" s="119"/>
    </row>
    <row r="344"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P344" s="121"/>
      <c r="R344" s="122"/>
      <c r="AE344" s="123"/>
      <c r="AF344" s="123"/>
      <c r="AG344" s="119"/>
    </row>
    <row r="345"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P345" s="121"/>
      <c r="R345" s="122"/>
      <c r="AE345" s="123"/>
      <c r="AF345" s="123"/>
      <c r="AG345" s="119"/>
    </row>
    <row r="346"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P346" s="121"/>
      <c r="R346" s="122"/>
      <c r="AE346" s="123"/>
      <c r="AF346" s="123"/>
      <c r="AG346" s="119"/>
    </row>
    <row r="347"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P347" s="121"/>
      <c r="R347" s="122"/>
      <c r="AE347" s="123"/>
      <c r="AF347" s="123"/>
      <c r="AG347" s="119"/>
    </row>
    <row r="348"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P348" s="121"/>
      <c r="R348" s="122"/>
      <c r="AE348" s="123"/>
      <c r="AF348" s="123"/>
      <c r="AG348" s="119"/>
    </row>
    <row r="349"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P349" s="121"/>
      <c r="R349" s="122"/>
      <c r="AE349" s="123"/>
      <c r="AF349" s="123"/>
      <c r="AG349" s="119"/>
    </row>
    <row r="350"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P350" s="121"/>
      <c r="R350" s="122"/>
      <c r="AE350" s="123"/>
      <c r="AF350" s="123"/>
      <c r="AG350" s="119"/>
    </row>
    <row r="351"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P351" s="121"/>
      <c r="R351" s="122"/>
      <c r="AE351" s="123"/>
      <c r="AF351" s="123"/>
      <c r="AG351" s="119"/>
    </row>
    <row r="352"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P352" s="121"/>
      <c r="R352" s="122"/>
      <c r="AE352" s="123"/>
      <c r="AF352" s="123"/>
      <c r="AG352" s="119"/>
    </row>
    <row r="353"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P353" s="121"/>
      <c r="R353" s="122"/>
      <c r="AE353" s="123"/>
      <c r="AF353" s="123"/>
      <c r="AG353" s="119"/>
    </row>
    <row r="354"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P354" s="121"/>
      <c r="R354" s="122"/>
      <c r="AE354" s="123"/>
      <c r="AF354" s="123"/>
      <c r="AG354" s="119"/>
    </row>
    <row r="355"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P355" s="121"/>
      <c r="R355" s="122"/>
      <c r="AE355" s="123"/>
      <c r="AF355" s="123"/>
      <c r="AG355" s="119"/>
    </row>
    <row r="356"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P356" s="121"/>
      <c r="R356" s="122"/>
      <c r="AE356" s="123"/>
      <c r="AF356" s="123"/>
      <c r="AG356" s="119"/>
    </row>
    <row r="357"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P357" s="121"/>
      <c r="R357" s="122"/>
      <c r="AE357" s="123"/>
      <c r="AF357" s="123"/>
      <c r="AG357" s="119"/>
    </row>
    <row r="358"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P358" s="121"/>
      <c r="R358" s="122"/>
      <c r="AE358" s="123"/>
      <c r="AF358" s="123"/>
      <c r="AG358" s="119"/>
    </row>
    <row r="359"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P359" s="121"/>
      <c r="R359" s="122"/>
      <c r="AE359" s="123"/>
      <c r="AF359" s="123"/>
      <c r="AG359" s="119"/>
    </row>
    <row r="360"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P360" s="121"/>
      <c r="R360" s="122"/>
      <c r="AE360" s="123"/>
      <c r="AF360" s="123"/>
      <c r="AG360" s="119"/>
    </row>
    <row r="361"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P361" s="121"/>
      <c r="R361" s="122"/>
      <c r="AE361" s="123"/>
      <c r="AF361" s="123"/>
      <c r="AG361" s="119"/>
    </row>
    <row r="362"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P362" s="121"/>
      <c r="R362" s="122"/>
      <c r="AE362" s="123"/>
      <c r="AF362" s="123"/>
      <c r="AG362" s="119"/>
    </row>
    <row r="363"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P363" s="121"/>
      <c r="R363" s="122"/>
      <c r="AE363" s="123"/>
      <c r="AF363" s="123"/>
      <c r="AG363" s="119"/>
    </row>
    <row r="364"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P364" s="121"/>
      <c r="R364" s="122"/>
      <c r="AE364" s="123"/>
      <c r="AF364" s="123"/>
      <c r="AG364" s="119"/>
    </row>
    <row r="365"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P365" s="121"/>
      <c r="R365" s="122"/>
      <c r="AE365" s="123"/>
      <c r="AF365" s="123"/>
      <c r="AG365" s="119"/>
    </row>
    <row r="366"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P366" s="121"/>
      <c r="R366" s="122"/>
      <c r="AE366" s="123"/>
      <c r="AF366" s="123"/>
      <c r="AG366" s="119"/>
    </row>
    <row r="367"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P367" s="121"/>
      <c r="R367" s="122"/>
      <c r="AE367" s="123"/>
      <c r="AF367" s="123"/>
      <c r="AG367" s="119"/>
    </row>
    <row r="368"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P368" s="121"/>
      <c r="R368" s="122"/>
      <c r="AE368" s="123"/>
      <c r="AF368" s="123"/>
      <c r="AG368" s="119"/>
    </row>
    <row r="369"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P369" s="121"/>
      <c r="R369" s="122"/>
      <c r="AE369" s="123"/>
      <c r="AF369" s="123"/>
      <c r="AG369" s="119"/>
    </row>
    <row r="370"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P370" s="121"/>
      <c r="R370" s="122"/>
      <c r="AE370" s="123"/>
      <c r="AF370" s="123"/>
      <c r="AG370" s="119"/>
    </row>
    <row r="371"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P371" s="121"/>
      <c r="R371" s="122"/>
      <c r="AE371" s="123"/>
      <c r="AF371" s="123"/>
      <c r="AG371" s="119"/>
    </row>
    <row r="372"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P372" s="121"/>
      <c r="R372" s="122"/>
      <c r="AE372" s="123"/>
      <c r="AF372" s="123"/>
      <c r="AG372" s="119"/>
    </row>
    <row r="373"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P373" s="121"/>
      <c r="R373" s="122"/>
      <c r="AE373" s="123"/>
      <c r="AF373" s="123"/>
      <c r="AG373" s="119"/>
    </row>
    <row r="374"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P374" s="121"/>
      <c r="R374" s="122"/>
      <c r="AE374" s="123"/>
      <c r="AF374" s="123"/>
      <c r="AG374" s="119"/>
    </row>
    <row r="375"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P375" s="121"/>
      <c r="R375" s="122"/>
      <c r="AE375" s="123"/>
      <c r="AF375" s="123"/>
      <c r="AG375" s="119"/>
    </row>
    <row r="376"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P376" s="121"/>
      <c r="R376" s="122"/>
      <c r="AE376" s="123"/>
      <c r="AF376" s="123"/>
      <c r="AG376" s="119"/>
    </row>
    <row r="377"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P377" s="121"/>
      <c r="R377" s="122"/>
      <c r="AE377" s="123"/>
      <c r="AF377" s="123"/>
      <c r="AG377" s="119"/>
    </row>
    <row r="378"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P378" s="121"/>
      <c r="R378" s="122"/>
      <c r="AE378" s="123"/>
      <c r="AF378" s="123"/>
      <c r="AG378" s="119"/>
    </row>
    <row r="379"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P379" s="121"/>
      <c r="R379" s="122"/>
      <c r="AE379" s="123"/>
      <c r="AF379" s="123"/>
      <c r="AG379" s="119"/>
    </row>
    <row r="380"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P380" s="121"/>
      <c r="R380" s="122"/>
      <c r="AE380" s="123"/>
      <c r="AF380" s="123"/>
      <c r="AG380" s="119"/>
    </row>
    <row r="381"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P381" s="121"/>
      <c r="R381" s="122"/>
      <c r="AE381" s="123"/>
      <c r="AF381" s="123"/>
      <c r="AG381" s="119"/>
    </row>
    <row r="382"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P382" s="121"/>
      <c r="R382" s="122"/>
      <c r="AE382" s="123"/>
      <c r="AF382" s="123"/>
      <c r="AG382" s="119"/>
    </row>
    <row r="383"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P383" s="121"/>
      <c r="R383" s="122"/>
      <c r="AE383" s="123"/>
      <c r="AF383" s="123"/>
      <c r="AG383" s="119"/>
    </row>
    <row r="384"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P384" s="121"/>
      <c r="R384" s="122"/>
      <c r="AE384" s="123"/>
      <c r="AF384" s="123"/>
      <c r="AG384" s="119"/>
    </row>
    <row r="385"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P385" s="121"/>
      <c r="R385" s="122"/>
      <c r="AE385" s="123"/>
      <c r="AF385" s="123"/>
      <c r="AG385" s="119"/>
    </row>
    <row r="386"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P386" s="121"/>
      <c r="R386" s="122"/>
      <c r="AE386" s="123"/>
      <c r="AF386" s="123"/>
      <c r="AG386" s="119"/>
    </row>
    <row r="387"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P387" s="121"/>
      <c r="R387" s="122"/>
      <c r="AE387" s="123"/>
      <c r="AF387" s="123"/>
      <c r="AG387" s="119"/>
    </row>
    <row r="388"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P388" s="121"/>
      <c r="R388" s="122"/>
      <c r="AE388" s="123"/>
      <c r="AF388" s="123"/>
      <c r="AG388" s="119"/>
    </row>
    <row r="389"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P389" s="121"/>
      <c r="R389" s="122"/>
      <c r="AE389" s="123"/>
      <c r="AF389" s="123"/>
      <c r="AG389" s="119"/>
    </row>
    <row r="390"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P390" s="121"/>
      <c r="R390" s="122"/>
      <c r="AE390" s="123"/>
      <c r="AF390" s="123"/>
      <c r="AG390" s="119"/>
    </row>
    <row r="391"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P391" s="121"/>
      <c r="R391" s="122"/>
      <c r="AE391" s="123"/>
      <c r="AF391" s="123"/>
      <c r="AG391" s="119"/>
    </row>
    <row r="392"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P392" s="121"/>
      <c r="R392" s="122"/>
      <c r="AE392" s="123"/>
      <c r="AF392" s="123"/>
      <c r="AG392" s="119"/>
    </row>
    <row r="393"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P393" s="121"/>
      <c r="R393" s="122"/>
      <c r="AE393" s="123"/>
      <c r="AF393" s="123"/>
      <c r="AG393" s="119"/>
    </row>
    <row r="394"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P394" s="121"/>
      <c r="R394" s="122"/>
      <c r="AE394" s="123"/>
      <c r="AF394" s="123"/>
      <c r="AG394" s="119"/>
    </row>
    <row r="395"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P395" s="121"/>
      <c r="R395" s="122"/>
      <c r="AE395" s="123"/>
      <c r="AF395" s="123"/>
      <c r="AG395" s="119"/>
    </row>
    <row r="396"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P396" s="121"/>
      <c r="R396" s="122"/>
      <c r="AE396" s="123"/>
      <c r="AF396" s="123"/>
      <c r="AG396" s="119"/>
    </row>
    <row r="397"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P397" s="121"/>
      <c r="R397" s="122"/>
      <c r="AE397" s="123"/>
      <c r="AF397" s="123"/>
      <c r="AG397" s="119"/>
    </row>
    <row r="398"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P398" s="121"/>
      <c r="R398" s="122"/>
      <c r="AE398" s="123"/>
      <c r="AF398" s="123"/>
      <c r="AG398" s="119"/>
    </row>
    <row r="399"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P399" s="121"/>
      <c r="R399" s="122"/>
      <c r="AE399" s="123"/>
      <c r="AF399" s="123"/>
      <c r="AG399" s="119"/>
    </row>
    <row r="400"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P400" s="121"/>
      <c r="R400" s="122"/>
      <c r="AE400" s="123"/>
      <c r="AF400" s="123"/>
      <c r="AG400" s="119"/>
    </row>
    <row r="401"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P401" s="121"/>
      <c r="R401" s="122"/>
      <c r="AE401" s="123"/>
      <c r="AF401" s="123"/>
      <c r="AG401" s="119"/>
    </row>
    <row r="402"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P402" s="121"/>
      <c r="R402" s="122"/>
      <c r="AE402" s="123"/>
      <c r="AF402" s="123"/>
      <c r="AG402" s="119"/>
    </row>
    <row r="403"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P403" s="121"/>
      <c r="R403" s="122"/>
      <c r="AE403" s="123"/>
      <c r="AF403" s="123"/>
      <c r="AG403" s="119"/>
    </row>
    <row r="404"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P404" s="121"/>
      <c r="R404" s="122"/>
      <c r="AE404" s="123"/>
      <c r="AF404" s="123"/>
      <c r="AG404" s="119"/>
    </row>
    <row r="405"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P405" s="121"/>
      <c r="R405" s="122"/>
      <c r="AE405" s="123"/>
      <c r="AF405" s="123"/>
      <c r="AG405" s="119"/>
    </row>
    <row r="406"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P406" s="121"/>
      <c r="R406" s="122"/>
      <c r="AE406" s="123"/>
      <c r="AF406" s="123"/>
      <c r="AG406" s="119"/>
    </row>
    <row r="407"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P407" s="121"/>
      <c r="R407" s="122"/>
      <c r="AE407" s="123"/>
      <c r="AF407" s="123"/>
      <c r="AG407" s="119"/>
    </row>
    <row r="408"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P408" s="121"/>
      <c r="R408" s="122"/>
      <c r="AE408" s="123"/>
      <c r="AF408" s="123"/>
      <c r="AG408" s="119"/>
    </row>
    <row r="409"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P409" s="121"/>
      <c r="R409" s="122"/>
      <c r="AE409" s="123"/>
      <c r="AF409" s="123"/>
      <c r="AG409" s="119"/>
    </row>
    <row r="410"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P410" s="121"/>
      <c r="R410" s="122"/>
      <c r="AE410" s="123"/>
      <c r="AF410" s="123"/>
      <c r="AG410" s="119"/>
    </row>
    <row r="411"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P411" s="121"/>
      <c r="R411" s="122"/>
      <c r="AE411" s="123"/>
      <c r="AF411" s="123"/>
      <c r="AG411" s="119"/>
    </row>
    <row r="412"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P412" s="121"/>
      <c r="R412" s="122"/>
      <c r="AE412" s="123"/>
      <c r="AF412" s="123"/>
      <c r="AG412" s="119"/>
    </row>
    <row r="413"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P413" s="121"/>
      <c r="R413" s="122"/>
      <c r="AE413" s="123"/>
      <c r="AF413" s="123"/>
      <c r="AG413" s="119"/>
    </row>
    <row r="414"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P414" s="121"/>
      <c r="R414" s="122"/>
      <c r="AE414" s="123"/>
      <c r="AF414" s="123"/>
      <c r="AG414" s="119"/>
    </row>
    <row r="415"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P415" s="121"/>
      <c r="R415" s="122"/>
      <c r="AE415" s="123"/>
      <c r="AF415" s="123"/>
      <c r="AG415" s="119"/>
    </row>
    <row r="416"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P416" s="121"/>
      <c r="R416" s="122"/>
      <c r="AE416" s="123"/>
      <c r="AF416" s="123"/>
      <c r="AG416" s="119"/>
    </row>
    <row r="417"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P417" s="121"/>
      <c r="R417" s="122"/>
      <c r="AE417" s="123"/>
      <c r="AF417" s="123"/>
      <c r="AG417" s="119"/>
    </row>
    <row r="418"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P418" s="121"/>
      <c r="R418" s="122"/>
      <c r="AE418" s="123"/>
      <c r="AF418" s="123"/>
      <c r="AG418" s="119"/>
    </row>
    <row r="419"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P419" s="121"/>
      <c r="R419" s="122"/>
      <c r="AE419" s="123"/>
      <c r="AF419" s="123"/>
      <c r="AG419" s="119"/>
    </row>
    <row r="420"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P420" s="121"/>
      <c r="R420" s="122"/>
      <c r="AE420" s="123"/>
      <c r="AF420" s="123"/>
      <c r="AG420" s="119"/>
    </row>
    <row r="421"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P421" s="121"/>
      <c r="R421" s="122"/>
      <c r="AE421" s="123"/>
      <c r="AF421" s="123"/>
      <c r="AG421" s="119"/>
    </row>
    <row r="422"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P422" s="121"/>
      <c r="R422" s="122"/>
      <c r="AE422" s="123"/>
      <c r="AF422" s="123"/>
      <c r="AG422" s="119"/>
    </row>
    <row r="423"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P423" s="121"/>
      <c r="R423" s="122"/>
      <c r="AE423" s="123"/>
      <c r="AF423" s="123"/>
      <c r="AG423" s="119"/>
    </row>
    <row r="424"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P424" s="121"/>
      <c r="R424" s="122"/>
      <c r="AE424" s="123"/>
      <c r="AF424" s="123"/>
      <c r="AG424" s="119"/>
    </row>
    <row r="425"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P425" s="121"/>
      <c r="R425" s="122"/>
      <c r="AE425" s="123"/>
      <c r="AF425" s="123"/>
      <c r="AG425" s="119"/>
    </row>
    <row r="426"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P426" s="121"/>
      <c r="R426" s="122"/>
      <c r="AE426" s="123"/>
      <c r="AF426" s="123"/>
      <c r="AG426" s="119"/>
    </row>
    <row r="427"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P427" s="121"/>
      <c r="R427" s="122"/>
      <c r="AE427" s="123"/>
      <c r="AF427" s="123"/>
      <c r="AG427" s="119"/>
    </row>
    <row r="428"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P428" s="121"/>
      <c r="R428" s="122"/>
      <c r="AE428" s="123"/>
      <c r="AF428" s="123"/>
      <c r="AG428" s="119"/>
    </row>
    <row r="429"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P429" s="121"/>
      <c r="R429" s="122"/>
      <c r="AE429" s="123"/>
      <c r="AF429" s="123"/>
      <c r="AG429" s="119"/>
    </row>
    <row r="430"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P430" s="121"/>
      <c r="R430" s="122"/>
      <c r="AE430" s="123"/>
      <c r="AF430" s="123"/>
      <c r="AG430" s="119"/>
    </row>
    <row r="431"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P431" s="121"/>
      <c r="R431" s="122"/>
      <c r="AE431" s="123"/>
      <c r="AF431" s="123"/>
      <c r="AG431" s="119"/>
    </row>
    <row r="432"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P432" s="121"/>
      <c r="R432" s="122"/>
      <c r="AE432" s="123"/>
      <c r="AF432" s="123"/>
      <c r="AG432" s="119"/>
    </row>
    <row r="433"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P433" s="121"/>
      <c r="R433" s="122"/>
      <c r="AE433" s="123"/>
      <c r="AF433" s="123"/>
      <c r="AG433" s="119"/>
    </row>
    <row r="434"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P434" s="121"/>
      <c r="R434" s="122"/>
      <c r="AE434" s="123"/>
      <c r="AF434" s="123"/>
      <c r="AG434" s="119"/>
    </row>
    <row r="435"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P435" s="121"/>
      <c r="R435" s="122"/>
      <c r="AE435" s="123"/>
      <c r="AF435" s="123"/>
      <c r="AG435" s="119"/>
    </row>
    <row r="436"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P436" s="121"/>
      <c r="R436" s="122"/>
      <c r="AE436" s="123"/>
      <c r="AF436" s="123"/>
      <c r="AG436" s="119"/>
    </row>
    <row r="437"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P437" s="121"/>
      <c r="R437" s="122"/>
      <c r="AE437" s="123"/>
      <c r="AF437" s="123"/>
      <c r="AG437" s="119"/>
    </row>
    <row r="438"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P438" s="121"/>
      <c r="R438" s="122"/>
      <c r="AE438" s="123"/>
      <c r="AF438" s="123"/>
      <c r="AG438" s="119"/>
    </row>
    <row r="439"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P439" s="121"/>
      <c r="R439" s="122"/>
      <c r="AE439" s="123"/>
      <c r="AF439" s="123"/>
      <c r="AG439" s="119"/>
    </row>
    <row r="440"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P440" s="121"/>
      <c r="R440" s="122"/>
      <c r="AE440" s="123"/>
      <c r="AF440" s="123"/>
      <c r="AG440" s="119"/>
    </row>
    <row r="441"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P441" s="121"/>
      <c r="R441" s="122"/>
      <c r="AE441" s="123"/>
      <c r="AF441" s="123"/>
      <c r="AG441" s="119"/>
    </row>
    <row r="442"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P442" s="121"/>
      <c r="R442" s="122"/>
      <c r="AE442" s="123"/>
      <c r="AF442" s="123"/>
      <c r="AG442" s="119"/>
    </row>
    <row r="443"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P443" s="121"/>
      <c r="R443" s="122"/>
      <c r="AE443" s="123"/>
      <c r="AF443" s="123"/>
      <c r="AG443" s="119"/>
    </row>
    <row r="444"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P444" s="121"/>
      <c r="R444" s="122"/>
      <c r="AE444" s="123"/>
      <c r="AF444" s="123"/>
      <c r="AG444" s="119"/>
    </row>
    <row r="445"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P445" s="121"/>
      <c r="R445" s="122"/>
      <c r="AE445" s="123"/>
      <c r="AF445" s="123"/>
      <c r="AG445" s="119"/>
    </row>
    <row r="446"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P446" s="121"/>
      <c r="R446" s="122"/>
      <c r="AE446" s="123"/>
      <c r="AF446" s="123"/>
      <c r="AG446" s="119"/>
    </row>
    <row r="447"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P447" s="121"/>
      <c r="R447" s="122"/>
      <c r="AE447" s="123"/>
      <c r="AF447" s="123"/>
      <c r="AG447" s="119"/>
    </row>
    <row r="448"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P448" s="121"/>
      <c r="R448" s="122"/>
      <c r="AE448" s="123"/>
      <c r="AF448" s="123"/>
      <c r="AG448" s="119"/>
    </row>
    <row r="449"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P449" s="121"/>
      <c r="R449" s="122"/>
      <c r="AE449" s="123"/>
      <c r="AF449" s="123"/>
      <c r="AG449" s="119"/>
    </row>
    <row r="450"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P450" s="121"/>
      <c r="R450" s="122"/>
      <c r="AE450" s="123"/>
      <c r="AF450" s="123"/>
      <c r="AG450" s="119"/>
    </row>
    <row r="451"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P451" s="121"/>
      <c r="R451" s="122"/>
      <c r="AE451" s="123"/>
      <c r="AF451" s="123"/>
      <c r="AG451" s="119"/>
    </row>
    <row r="452"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P452" s="121"/>
      <c r="R452" s="122"/>
      <c r="AE452" s="123"/>
      <c r="AF452" s="123"/>
      <c r="AG452" s="119"/>
    </row>
    <row r="453"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P453" s="121"/>
      <c r="R453" s="122"/>
      <c r="AE453" s="123"/>
      <c r="AF453" s="123"/>
      <c r="AG453" s="119"/>
    </row>
    <row r="454"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P454" s="121"/>
      <c r="R454" s="122"/>
      <c r="AE454" s="123"/>
      <c r="AF454" s="123"/>
      <c r="AG454" s="119"/>
    </row>
    <row r="455"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P455" s="121"/>
      <c r="R455" s="122"/>
      <c r="AE455" s="123"/>
      <c r="AF455" s="123"/>
      <c r="AG455" s="119"/>
    </row>
    <row r="456"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P456" s="121"/>
      <c r="R456" s="122"/>
      <c r="AE456" s="123"/>
      <c r="AF456" s="123"/>
      <c r="AG456" s="119"/>
    </row>
    <row r="457"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P457" s="121"/>
      <c r="R457" s="122"/>
      <c r="AE457" s="123"/>
      <c r="AF457" s="123"/>
      <c r="AG457" s="119"/>
    </row>
    <row r="458"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P458" s="121"/>
      <c r="R458" s="122"/>
      <c r="AE458" s="123"/>
      <c r="AF458" s="123"/>
      <c r="AG458" s="119"/>
    </row>
    <row r="459"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P459" s="121"/>
      <c r="R459" s="122"/>
      <c r="AE459" s="123"/>
      <c r="AF459" s="123"/>
      <c r="AG459" s="119"/>
    </row>
    <row r="460"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P460" s="121"/>
      <c r="R460" s="122"/>
      <c r="AE460" s="123"/>
      <c r="AF460" s="123"/>
      <c r="AG460" s="119"/>
    </row>
    <row r="461"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P461" s="121"/>
      <c r="R461" s="122"/>
      <c r="AE461" s="123"/>
      <c r="AF461" s="123"/>
      <c r="AG461" s="119"/>
    </row>
    <row r="462"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P462" s="121"/>
      <c r="R462" s="122"/>
      <c r="AE462" s="123"/>
      <c r="AF462" s="123"/>
      <c r="AG462" s="119"/>
    </row>
    <row r="463"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P463" s="121"/>
      <c r="R463" s="122"/>
      <c r="AE463" s="123"/>
      <c r="AF463" s="123"/>
      <c r="AG463" s="119"/>
    </row>
    <row r="464"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P464" s="121"/>
      <c r="R464" s="122"/>
      <c r="AE464" s="123"/>
      <c r="AF464" s="123"/>
      <c r="AG464" s="119"/>
    </row>
    <row r="465"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P465" s="121"/>
      <c r="R465" s="122"/>
      <c r="AE465" s="123"/>
      <c r="AF465" s="123"/>
      <c r="AG465" s="119"/>
    </row>
    <row r="466"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P466" s="121"/>
      <c r="R466" s="122"/>
      <c r="AE466" s="123"/>
      <c r="AF466" s="123"/>
      <c r="AG466" s="119"/>
    </row>
    <row r="467"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P467" s="121"/>
      <c r="R467" s="122"/>
      <c r="AE467" s="123"/>
      <c r="AF467" s="123"/>
      <c r="AG467" s="119"/>
    </row>
    <row r="468"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P468" s="121"/>
      <c r="R468" s="122"/>
      <c r="AE468" s="123"/>
      <c r="AF468" s="123"/>
      <c r="AG468" s="119"/>
    </row>
    <row r="469"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P469" s="121"/>
      <c r="R469" s="122"/>
      <c r="AE469" s="123"/>
      <c r="AF469" s="123"/>
      <c r="AG469" s="119"/>
    </row>
    <row r="470"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P470" s="121"/>
      <c r="R470" s="122"/>
      <c r="AE470" s="123"/>
      <c r="AF470" s="123"/>
      <c r="AG470" s="119"/>
    </row>
    <row r="471"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P471" s="121"/>
      <c r="R471" s="122"/>
      <c r="AE471" s="123"/>
      <c r="AF471" s="123"/>
      <c r="AG471" s="119"/>
    </row>
    <row r="472"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P472" s="121"/>
      <c r="R472" s="122"/>
      <c r="AE472" s="123"/>
      <c r="AF472" s="123"/>
      <c r="AG472" s="119"/>
    </row>
    <row r="473"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P473" s="121"/>
      <c r="R473" s="122"/>
      <c r="AE473" s="123"/>
      <c r="AF473" s="123"/>
      <c r="AG473" s="119"/>
    </row>
    <row r="474"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P474" s="121"/>
      <c r="R474" s="122"/>
      <c r="AE474" s="123"/>
      <c r="AF474" s="123"/>
      <c r="AG474" s="119"/>
    </row>
    <row r="475"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P475" s="121"/>
      <c r="R475" s="122"/>
      <c r="AE475" s="123"/>
      <c r="AF475" s="123"/>
      <c r="AG475" s="119"/>
    </row>
    <row r="476"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P476" s="121"/>
      <c r="R476" s="122"/>
      <c r="AE476" s="123"/>
      <c r="AF476" s="123"/>
      <c r="AG476" s="119"/>
    </row>
    <row r="477"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P477" s="121"/>
      <c r="R477" s="122"/>
      <c r="AE477" s="123"/>
      <c r="AF477" s="123"/>
      <c r="AG477" s="119"/>
    </row>
    <row r="478"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P478" s="121"/>
      <c r="R478" s="122"/>
      <c r="AE478" s="123"/>
      <c r="AF478" s="123"/>
      <c r="AG478" s="119"/>
    </row>
    <row r="479"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P479" s="121"/>
      <c r="R479" s="122"/>
      <c r="AE479" s="123"/>
      <c r="AF479" s="123"/>
      <c r="AG479" s="119"/>
    </row>
    <row r="480"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P480" s="121"/>
      <c r="R480" s="122"/>
      <c r="AE480" s="123"/>
      <c r="AF480" s="123"/>
      <c r="AG480" s="119"/>
    </row>
    <row r="481"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P481" s="121"/>
      <c r="R481" s="122"/>
      <c r="AE481" s="123"/>
      <c r="AF481" s="123"/>
      <c r="AG481" s="119"/>
    </row>
    <row r="482"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P482" s="121"/>
      <c r="R482" s="122"/>
      <c r="AE482" s="123"/>
      <c r="AF482" s="123"/>
      <c r="AG482" s="119"/>
    </row>
    <row r="483"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P483" s="121"/>
      <c r="R483" s="122"/>
      <c r="AE483" s="123"/>
      <c r="AF483" s="123"/>
      <c r="AG483" s="119"/>
    </row>
    <row r="484"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P484" s="121"/>
      <c r="R484" s="122"/>
      <c r="AE484" s="123"/>
      <c r="AF484" s="123"/>
      <c r="AG484" s="119"/>
    </row>
    <row r="485"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P485" s="121"/>
      <c r="R485" s="122"/>
      <c r="AE485" s="123"/>
      <c r="AF485" s="123"/>
      <c r="AG485" s="119"/>
    </row>
    <row r="486"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P486" s="121"/>
      <c r="R486" s="122"/>
      <c r="AE486" s="123"/>
      <c r="AF486" s="123"/>
      <c r="AG486" s="119"/>
    </row>
    <row r="487"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P487" s="121"/>
      <c r="R487" s="122"/>
      <c r="AE487" s="123"/>
      <c r="AF487" s="123"/>
      <c r="AG487" s="119"/>
    </row>
    <row r="488"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P488" s="121"/>
      <c r="R488" s="122"/>
      <c r="AE488" s="123"/>
      <c r="AF488" s="123"/>
      <c r="AG488" s="119"/>
    </row>
    <row r="489"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P489" s="121"/>
      <c r="R489" s="122"/>
      <c r="AE489" s="123"/>
      <c r="AF489" s="123"/>
      <c r="AG489" s="119"/>
    </row>
    <row r="490"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P490" s="121"/>
      <c r="R490" s="122"/>
      <c r="AE490" s="123"/>
      <c r="AF490" s="123"/>
      <c r="AG490" s="119"/>
    </row>
    <row r="491"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P491" s="121"/>
      <c r="R491" s="122"/>
      <c r="AE491" s="123"/>
      <c r="AF491" s="123"/>
      <c r="AG491" s="119"/>
    </row>
    <row r="492"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P492" s="121"/>
      <c r="R492" s="122"/>
      <c r="AE492" s="123"/>
      <c r="AF492" s="123"/>
      <c r="AG492" s="119"/>
    </row>
    <row r="493"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P493" s="121"/>
      <c r="R493" s="122"/>
      <c r="AE493" s="123"/>
      <c r="AF493" s="123"/>
      <c r="AG493" s="119"/>
    </row>
    <row r="494"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P494" s="121"/>
      <c r="R494" s="122"/>
      <c r="AE494" s="123"/>
      <c r="AF494" s="123"/>
      <c r="AG494" s="119"/>
    </row>
    <row r="495"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P495" s="121"/>
      <c r="R495" s="122"/>
      <c r="AE495" s="123"/>
      <c r="AF495" s="123"/>
      <c r="AG495" s="119"/>
    </row>
    <row r="496"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P496" s="121"/>
      <c r="R496" s="122"/>
      <c r="AE496" s="123"/>
      <c r="AF496" s="123"/>
      <c r="AG496" s="119"/>
    </row>
    <row r="497"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P497" s="121"/>
      <c r="R497" s="122"/>
      <c r="AE497" s="123"/>
      <c r="AF497" s="123"/>
      <c r="AG497" s="119"/>
    </row>
    <row r="498"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P498" s="121"/>
      <c r="R498" s="122"/>
      <c r="AE498" s="123"/>
      <c r="AF498" s="123"/>
      <c r="AG498" s="119"/>
    </row>
    <row r="499"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P499" s="121"/>
      <c r="R499" s="122"/>
      <c r="AE499" s="123"/>
      <c r="AF499" s="123"/>
      <c r="AG499" s="119"/>
    </row>
    <row r="500"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P500" s="121"/>
      <c r="R500" s="122"/>
      <c r="AE500" s="123"/>
      <c r="AF500" s="123"/>
      <c r="AG500" s="119"/>
    </row>
    <row r="501"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P501" s="121"/>
      <c r="R501" s="122"/>
      <c r="AE501" s="123"/>
      <c r="AF501" s="123"/>
      <c r="AG501" s="119"/>
    </row>
    <row r="502"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P502" s="121"/>
      <c r="R502" s="122"/>
      <c r="AE502" s="123"/>
      <c r="AF502" s="123"/>
      <c r="AG502" s="119"/>
    </row>
    <row r="503"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P503" s="121"/>
      <c r="R503" s="122"/>
      <c r="AE503" s="123"/>
      <c r="AF503" s="123"/>
      <c r="AG503" s="119"/>
    </row>
    <row r="504"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P504" s="121"/>
      <c r="R504" s="122"/>
      <c r="AE504" s="123"/>
      <c r="AF504" s="123"/>
      <c r="AG504" s="119"/>
    </row>
    <row r="505"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P505" s="121"/>
      <c r="R505" s="122"/>
      <c r="AE505" s="123"/>
      <c r="AF505" s="123"/>
      <c r="AG505" s="119"/>
    </row>
    <row r="506"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P506" s="121"/>
      <c r="R506" s="122"/>
      <c r="AE506" s="123"/>
      <c r="AF506" s="123"/>
      <c r="AG506" s="119"/>
    </row>
    <row r="507"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P507" s="121"/>
      <c r="R507" s="122"/>
      <c r="AE507" s="123"/>
      <c r="AF507" s="123"/>
      <c r="AG507" s="119"/>
    </row>
    <row r="508"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P508" s="121"/>
      <c r="R508" s="122"/>
      <c r="AE508" s="123"/>
      <c r="AF508" s="123"/>
      <c r="AG508" s="119"/>
    </row>
    <row r="509"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P509" s="121"/>
      <c r="R509" s="122"/>
      <c r="AE509" s="123"/>
      <c r="AF509" s="123"/>
      <c r="AG509" s="119"/>
    </row>
    <row r="510"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P510" s="121"/>
      <c r="R510" s="122"/>
      <c r="AE510" s="123"/>
      <c r="AF510" s="123"/>
      <c r="AG510" s="119"/>
    </row>
    <row r="511"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P511" s="121"/>
      <c r="R511" s="122"/>
      <c r="AE511" s="123"/>
      <c r="AF511" s="123"/>
      <c r="AG511" s="119"/>
    </row>
    <row r="512"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P512" s="121"/>
      <c r="R512" s="122"/>
      <c r="AE512" s="123"/>
      <c r="AF512" s="123"/>
      <c r="AG512" s="119"/>
    </row>
    <row r="513"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P513" s="121"/>
      <c r="R513" s="122"/>
      <c r="AE513" s="123"/>
      <c r="AF513" s="123"/>
      <c r="AG513" s="119"/>
    </row>
    <row r="514"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P514" s="121"/>
      <c r="R514" s="122"/>
      <c r="AE514" s="123"/>
      <c r="AF514" s="123"/>
      <c r="AG514" s="119"/>
    </row>
    <row r="515"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P515" s="121"/>
      <c r="R515" s="122"/>
      <c r="AE515" s="123"/>
      <c r="AF515" s="123"/>
      <c r="AG515" s="119"/>
    </row>
    <row r="516"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P516" s="121"/>
      <c r="R516" s="122"/>
      <c r="AE516" s="123"/>
      <c r="AF516" s="123"/>
      <c r="AG516" s="119"/>
    </row>
    <row r="517"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P517" s="121"/>
      <c r="R517" s="122"/>
      <c r="AE517" s="123"/>
      <c r="AF517" s="123"/>
      <c r="AG517" s="119"/>
    </row>
    <row r="518"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P518" s="121"/>
      <c r="R518" s="122"/>
      <c r="AE518" s="123"/>
      <c r="AF518" s="123"/>
      <c r="AG518" s="119"/>
    </row>
    <row r="519"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P519" s="121"/>
      <c r="R519" s="122"/>
      <c r="AE519" s="123"/>
      <c r="AF519" s="123"/>
      <c r="AG519" s="119"/>
    </row>
    <row r="520"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P520" s="121"/>
      <c r="R520" s="122"/>
      <c r="AE520" s="123"/>
      <c r="AF520" s="123"/>
      <c r="AG520" s="119"/>
    </row>
    <row r="521"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P521" s="121"/>
      <c r="R521" s="122"/>
      <c r="AE521" s="123"/>
      <c r="AF521" s="123"/>
      <c r="AG521" s="119"/>
    </row>
    <row r="522"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P522" s="121"/>
      <c r="R522" s="122"/>
      <c r="AE522" s="123"/>
      <c r="AF522" s="123"/>
      <c r="AG522" s="119"/>
    </row>
    <row r="523"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P523" s="121"/>
      <c r="R523" s="122"/>
      <c r="AE523" s="123"/>
      <c r="AF523" s="123"/>
      <c r="AG523" s="119"/>
    </row>
    <row r="524"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P524" s="121"/>
      <c r="R524" s="122"/>
      <c r="AE524" s="123"/>
      <c r="AF524" s="123"/>
      <c r="AG524" s="119"/>
    </row>
    <row r="525"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P525" s="121"/>
      <c r="R525" s="122"/>
      <c r="AE525" s="123"/>
      <c r="AF525" s="123"/>
      <c r="AG525" s="119"/>
    </row>
    <row r="526"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P526" s="121"/>
      <c r="R526" s="122"/>
      <c r="AE526" s="123"/>
      <c r="AF526" s="123"/>
      <c r="AG526" s="119"/>
    </row>
    <row r="527"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P527" s="121"/>
      <c r="R527" s="122"/>
      <c r="AE527" s="123"/>
      <c r="AF527" s="123"/>
      <c r="AG527" s="119"/>
    </row>
    <row r="528"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P528" s="121"/>
      <c r="R528" s="122"/>
      <c r="AE528" s="123"/>
      <c r="AF528" s="123"/>
      <c r="AG528" s="119"/>
    </row>
    <row r="529"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P529" s="121"/>
      <c r="R529" s="122"/>
      <c r="AE529" s="123"/>
      <c r="AF529" s="123"/>
      <c r="AG529" s="119"/>
    </row>
    <row r="530"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P530" s="121"/>
      <c r="R530" s="122"/>
      <c r="AE530" s="123"/>
      <c r="AF530" s="123"/>
      <c r="AG530" s="119"/>
    </row>
    <row r="531"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P531" s="121"/>
      <c r="R531" s="122"/>
      <c r="AE531" s="123"/>
      <c r="AF531" s="123"/>
      <c r="AG531" s="119"/>
    </row>
    <row r="532"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P532" s="121"/>
      <c r="R532" s="122"/>
      <c r="AE532" s="123"/>
      <c r="AF532" s="123"/>
      <c r="AG532" s="119"/>
    </row>
    <row r="533"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P533" s="121"/>
      <c r="R533" s="122"/>
      <c r="AE533" s="123"/>
      <c r="AF533" s="123"/>
      <c r="AG533" s="119"/>
    </row>
    <row r="534"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P534" s="121"/>
      <c r="R534" s="122"/>
      <c r="AE534" s="123"/>
      <c r="AF534" s="123"/>
      <c r="AG534" s="119"/>
    </row>
    <row r="535"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P535" s="121"/>
      <c r="R535" s="122"/>
      <c r="AE535" s="123"/>
      <c r="AF535" s="123"/>
      <c r="AG535" s="119"/>
    </row>
    <row r="536"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P536" s="121"/>
      <c r="R536" s="122"/>
      <c r="AE536" s="123"/>
      <c r="AF536" s="123"/>
      <c r="AG536" s="119"/>
    </row>
    <row r="537"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P537" s="121"/>
      <c r="R537" s="122"/>
      <c r="AE537" s="123"/>
      <c r="AF537" s="123"/>
      <c r="AG537" s="119"/>
    </row>
    <row r="538"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P538" s="121"/>
      <c r="R538" s="122"/>
      <c r="AE538" s="123"/>
      <c r="AF538" s="123"/>
      <c r="AG538" s="119"/>
    </row>
    <row r="539"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P539" s="121"/>
      <c r="R539" s="122"/>
      <c r="AE539" s="123"/>
      <c r="AF539" s="123"/>
      <c r="AG539" s="119"/>
    </row>
    <row r="540"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P540" s="121"/>
      <c r="R540" s="122"/>
      <c r="AE540" s="123"/>
      <c r="AF540" s="123"/>
      <c r="AG540" s="119"/>
    </row>
    <row r="541"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P541" s="121"/>
      <c r="R541" s="122"/>
      <c r="AE541" s="123"/>
      <c r="AF541" s="123"/>
      <c r="AG541" s="119"/>
    </row>
    <row r="542"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P542" s="121"/>
      <c r="R542" s="122"/>
      <c r="AE542" s="123"/>
      <c r="AF542" s="123"/>
      <c r="AG542" s="119"/>
    </row>
    <row r="543"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P543" s="121"/>
      <c r="R543" s="122"/>
      <c r="AE543" s="123"/>
      <c r="AF543" s="123"/>
      <c r="AG543" s="119"/>
    </row>
    <row r="544"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P544" s="121"/>
      <c r="R544" s="122"/>
      <c r="AE544" s="123"/>
      <c r="AF544" s="123"/>
      <c r="AG544" s="119"/>
    </row>
    <row r="545"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P545" s="121"/>
      <c r="R545" s="122"/>
      <c r="AE545" s="123"/>
      <c r="AF545" s="123"/>
      <c r="AG545" s="119"/>
    </row>
    <row r="546"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P546" s="121"/>
      <c r="R546" s="122"/>
      <c r="AE546" s="123"/>
      <c r="AF546" s="123"/>
      <c r="AG546" s="119"/>
    </row>
    <row r="547"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P547" s="121"/>
      <c r="R547" s="122"/>
      <c r="AE547" s="123"/>
      <c r="AF547" s="123"/>
      <c r="AG547" s="119"/>
    </row>
    <row r="548"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P548" s="121"/>
      <c r="R548" s="122"/>
      <c r="AE548" s="123"/>
      <c r="AF548" s="123"/>
      <c r="AG548" s="119"/>
    </row>
    <row r="549"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P549" s="121"/>
      <c r="R549" s="122"/>
      <c r="AE549" s="123"/>
      <c r="AF549" s="123"/>
      <c r="AG549" s="119"/>
    </row>
    <row r="550"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P550" s="121"/>
      <c r="R550" s="122"/>
      <c r="AE550" s="123"/>
      <c r="AF550" s="123"/>
      <c r="AG550" s="119"/>
    </row>
    <row r="551"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P551" s="121"/>
      <c r="R551" s="122"/>
      <c r="AE551" s="123"/>
      <c r="AF551" s="123"/>
      <c r="AG551" s="119"/>
    </row>
    <row r="552"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P552" s="121"/>
      <c r="R552" s="122"/>
      <c r="AE552" s="123"/>
      <c r="AF552" s="123"/>
      <c r="AG552" s="119"/>
    </row>
    <row r="553"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P553" s="121"/>
      <c r="R553" s="122"/>
      <c r="AE553" s="123"/>
      <c r="AF553" s="123"/>
      <c r="AG553" s="119"/>
    </row>
    <row r="554"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P554" s="121"/>
      <c r="R554" s="122"/>
      <c r="AE554" s="123"/>
      <c r="AF554" s="123"/>
      <c r="AG554" s="119"/>
    </row>
    <row r="555"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P555" s="121"/>
      <c r="R555" s="122"/>
      <c r="AE555" s="123"/>
      <c r="AF555" s="123"/>
      <c r="AG555" s="119"/>
    </row>
    <row r="556"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P556" s="121"/>
      <c r="R556" s="122"/>
      <c r="AE556" s="123"/>
      <c r="AF556" s="123"/>
      <c r="AG556" s="119"/>
    </row>
    <row r="557"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P557" s="121"/>
      <c r="R557" s="122"/>
      <c r="AE557" s="123"/>
      <c r="AF557" s="123"/>
      <c r="AG557" s="119"/>
    </row>
    <row r="558"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P558" s="121"/>
      <c r="R558" s="122"/>
      <c r="AE558" s="123"/>
      <c r="AF558" s="123"/>
      <c r="AG558" s="119"/>
    </row>
    <row r="559"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P559" s="121"/>
      <c r="R559" s="122"/>
      <c r="AE559" s="123"/>
      <c r="AF559" s="123"/>
      <c r="AG559" s="119"/>
    </row>
    <row r="560"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P560" s="121"/>
      <c r="R560" s="122"/>
      <c r="AE560" s="123"/>
      <c r="AF560" s="123"/>
      <c r="AG560" s="119"/>
    </row>
    <row r="561"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P561" s="121"/>
      <c r="R561" s="122"/>
      <c r="AE561" s="123"/>
      <c r="AF561" s="123"/>
      <c r="AG561" s="119"/>
    </row>
    <row r="562"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P562" s="121"/>
      <c r="R562" s="122"/>
      <c r="AE562" s="123"/>
      <c r="AF562" s="123"/>
      <c r="AG562" s="119"/>
    </row>
    <row r="563"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P563" s="121"/>
      <c r="R563" s="122"/>
      <c r="AE563" s="123"/>
      <c r="AF563" s="123"/>
      <c r="AG563" s="119"/>
    </row>
    <row r="564"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P564" s="121"/>
      <c r="R564" s="122"/>
      <c r="AE564" s="123"/>
      <c r="AF564" s="123"/>
      <c r="AG564" s="119"/>
    </row>
    <row r="565"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P565" s="121"/>
      <c r="R565" s="122"/>
      <c r="AE565" s="123"/>
      <c r="AF565" s="123"/>
      <c r="AG565" s="119"/>
    </row>
    <row r="566"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P566" s="121"/>
      <c r="R566" s="122"/>
      <c r="AE566" s="123"/>
      <c r="AF566" s="123"/>
      <c r="AG566" s="119"/>
    </row>
    <row r="567"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P567" s="121"/>
      <c r="R567" s="122"/>
      <c r="AE567" s="123"/>
      <c r="AF567" s="123"/>
      <c r="AG567" s="119"/>
    </row>
    <row r="568"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P568" s="121"/>
      <c r="R568" s="122"/>
      <c r="AE568" s="123"/>
      <c r="AF568" s="123"/>
      <c r="AG568" s="119"/>
    </row>
    <row r="569"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P569" s="121"/>
      <c r="R569" s="122"/>
      <c r="AE569" s="123"/>
      <c r="AF569" s="123"/>
      <c r="AG569" s="119"/>
    </row>
    <row r="570"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P570" s="121"/>
      <c r="R570" s="122"/>
      <c r="AE570" s="123"/>
      <c r="AF570" s="123"/>
      <c r="AG570" s="119"/>
    </row>
    <row r="571"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P571" s="121"/>
      <c r="R571" s="122"/>
      <c r="AE571" s="123"/>
      <c r="AF571" s="123"/>
      <c r="AG571" s="119"/>
    </row>
    <row r="572"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P572" s="121"/>
      <c r="R572" s="122"/>
      <c r="AE572" s="123"/>
      <c r="AF572" s="123"/>
      <c r="AG572" s="119"/>
    </row>
    <row r="573"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P573" s="121"/>
      <c r="R573" s="122"/>
      <c r="AE573" s="123"/>
      <c r="AF573" s="123"/>
      <c r="AG573" s="119"/>
    </row>
    <row r="574"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P574" s="121"/>
      <c r="R574" s="122"/>
      <c r="AE574" s="123"/>
      <c r="AF574" s="123"/>
      <c r="AG574" s="119"/>
    </row>
    <row r="575"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P575" s="121"/>
      <c r="R575" s="122"/>
      <c r="AE575" s="123"/>
      <c r="AF575" s="123"/>
      <c r="AG575" s="119"/>
    </row>
    <row r="576"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P576" s="121"/>
      <c r="R576" s="122"/>
      <c r="AE576" s="123"/>
      <c r="AF576" s="123"/>
      <c r="AG576" s="119"/>
    </row>
    <row r="577"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P577" s="121"/>
      <c r="R577" s="122"/>
      <c r="AE577" s="123"/>
      <c r="AF577" s="123"/>
      <c r="AG577" s="119"/>
    </row>
    <row r="578"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P578" s="121"/>
      <c r="R578" s="122"/>
      <c r="AE578" s="123"/>
      <c r="AF578" s="123"/>
      <c r="AG578" s="119"/>
    </row>
    <row r="579"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P579" s="121"/>
      <c r="R579" s="122"/>
      <c r="AE579" s="123"/>
      <c r="AF579" s="123"/>
      <c r="AG579" s="119"/>
    </row>
    <row r="580"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P580" s="121"/>
      <c r="R580" s="122"/>
      <c r="AE580" s="123"/>
      <c r="AF580" s="123"/>
      <c r="AG580" s="119"/>
    </row>
    <row r="581"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P581" s="121"/>
      <c r="R581" s="122"/>
      <c r="AE581" s="123"/>
      <c r="AF581" s="123"/>
      <c r="AG581" s="119"/>
    </row>
    <row r="582"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P582" s="121"/>
      <c r="R582" s="122"/>
      <c r="AE582" s="123"/>
      <c r="AF582" s="123"/>
      <c r="AG582" s="119"/>
    </row>
    <row r="583"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P583" s="121"/>
      <c r="R583" s="122"/>
      <c r="AE583" s="123"/>
      <c r="AF583" s="123"/>
      <c r="AG583" s="119"/>
    </row>
    <row r="584"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P584" s="121"/>
      <c r="R584" s="122"/>
      <c r="AE584" s="123"/>
      <c r="AF584" s="123"/>
      <c r="AG584" s="119"/>
    </row>
    <row r="585"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P585" s="121"/>
      <c r="R585" s="122"/>
      <c r="AE585" s="123"/>
      <c r="AF585" s="123"/>
      <c r="AG585" s="119"/>
    </row>
    <row r="586"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P586" s="121"/>
      <c r="R586" s="122"/>
      <c r="AE586" s="123"/>
      <c r="AF586" s="123"/>
      <c r="AG586" s="119"/>
    </row>
    <row r="587"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P587" s="121"/>
      <c r="R587" s="122"/>
      <c r="AE587" s="123"/>
      <c r="AF587" s="123"/>
      <c r="AG587" s="119"/>
    </row>
    <row r="588"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P588" s="121"/>
      <c r="R588" s="122"/>
      <c r="AE588" s="123"/>
      <c r="AF588" s="123"/>
      <c r="AG588" s="119"/>
    </row>
    <row r="589"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P589" s="121"/>
      <c r="R589" s="122"/>
      <c r="AE589" s="123"/>
      <c r="AF589" s="123"/>
      <c r="AG589" s="119"/>
    </row>
    <row r="590"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P590" s="121"/>
      <c r="R590" s="122"/>
      <c r="AE590" s="123"/>
      <c r="AF590" s="123"/>
      <c r="AG590" s="119"/>
    </row>
    <row r="591"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P591" s="121"/>
      <c r="R591" s="122"/>
      <c r="AE591" s="123"/>
      <c r="AF591" s="123"/>
      <c r="AG591" s="119"/>
    </row>
    <row r="592"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P592" s="121"/>
      <c r="R592" s="122"/>
      <c r="AE592" s="123"/>
      <c r="AF592" s="123"/>
      <c r="AG592" s="119"/>
    </row>
    <row r="593"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P593" s="121"/>
      <c r="R593" s="122"/>
      <c r="AE593" s="123"/>
      <c r="AF593" s="123"/>
      <c r="AG593" s="119"/>
    </row>
    <row r="594"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P594" s="121"/>
      <c r="R594" s="122"/>
      <c r="AE594" s="123"/>
      <c r="AF594" s="123"/>
      <c r="AG594" s="119"/>
    </row>
    <row r="595"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P595" s="121"/>
      <c r="R595" s="122"/>
      <c r="AE595" s="123"/>
      <c r="AF595" s="123"/>
      <c r="AG595" s="119"/>
    </row>
    <row r="596"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P596" s="121"/>
      <c r="R596" s="122"/>
      <c r="AE596" s="123"/>
      <c r="AF596" s="123"/>
      <c r="AG596" s="119"/>
    </row>
    <row r="597"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P597" s="121"/>
      <c r="R597" s="122"/>
      <c r="AE597" s="123"/>
      <c r="AF597" s="123"/>
      <c r="AG597" s="119"/>
    </row>
    <row r="598"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P598" s="121"/>
      <c r="R598" s="122"/>
      <c r="AE598" s="123"/>
      <c r="AF598" s="123"/>
      <c r="AG598" s="119"/>
    </row>
    <row r="599"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P599" s="121"/>
      <c r="R599" s="122"/>
      <c r="AE599" s="123"/>
      <c r="AF599" s="123"/>
      <c r="AG599" s="119"/>
    </row>
    <row r="600"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P600" s="121"/>
      <c r="R600" s="122"/>
      <c r="AE600" s="123"/>
      <c r="AF600" s="123"/>
      <c r="AG600" s="119"/>
    </row>
    <row r="601"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P601" s="121"/>
      <c r="R601" s="122"/>
      <c r="AE601" s="123"/>
      <c r="AF601" s="123"/>
      <c r="AG601" s="119"/>
    </row>
    <row r="602"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P602" s="121"/>
      <c r="R602" s="122"/>
      <c r="AE602" s="123"/>
      <c r="AF602" s="123"/>
      <c r="AG602" s="119"/>
    </row>
    <row r="603"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P603" s="121"/>
      <c r="R603" s="122"/>
      <c r="AE603" s="123"/>
      <c r="AF603" s="123"/>
      <c r="AG603" s="119"/>
    </row>
    <row r="604"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P604" s="121"/>
      <c r="R604" s="122"/>
      <c r="AE604" s="123"/>
      <c r="AF604" s="123"/>
      <c r="AG604" s="119"/>
    </row>
    <row r="605"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P605" s="121"/>
      <c r="R605" s="122"/>
      <c r="AE605" s="123"/>
      <c r="AF605" s="123"/>
      <c r="AG605" s="119"/>
    </row>
    <row r="606"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P606" s="121"/>
      <c r="R606" s="122"/>
      <c r="AE606" s="123"/>
      <c r="AF606" s="123"/>
      <c r="AG606" s="119"/>
    </row>
    <row r="607"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P607" s="121"/>
      <c r="R607" s="122"/>
      <c r="AE607" s="123"/>
      <c r="AF607" s="123"/>
      <c r="AG607" s="119"/>
    </row>
    <row r="608"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P608" s="121"/>
      <c r="R608" s="122"/>
      <c r="AE608" s="123"/>
      <c r="AF608" s="123"/>
      <c r="AG608" s="119"/>
    </row>
    <row r="609"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P609" s="121"/>
      <c r="R609" s="122"/>
      <c r="AE609" s="123"/>
      <c r="AF609" s="123"/>
      <c r="AG609" s="119"/>
    </row>
    <row r="610"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P610" s="121"/>
      <c r="R610" s="122"/>
      <c r="AE610" s="123"/>
      <c r="AF610" s="123"/>
      <c r="AG610" s="119"/>
    </row>
    <row r="611"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P611" s="121"/>
      <c r="R611" s="122"/>
      <c r="AE611" s="123"/>
      <c r="AF611" s="123"/>
      <c r="AG611" s="119"/>
    </row>
    <row r="612"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P612" s="121"/>
      <c r="R612" s="122"/>
      <c r="AE612" s="123"/>
      <c r="AF612" s="123"/>
      <c r="AG612" s="119"/>
    </row>
    <row r="613"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P613" s="121"/>
      <c r="R613" s="122"/>
      <c r="AE613" s="123"/>
      <c r="AF613" s="123"/>
      <c r="AG613" s="119"/>
    </row>
    <row r="614"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P614" s="121"/>
      <c r="R614" s="122"/>
      <c r="AE614" s="123"/>
      <c r="AF614" s="123"/>
      <c r="AG614" s="119"/>
    </row>
    <row r="615"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P615" s="121"/>
      <c r="R615" s="122"/>
      <c r="AE615" s="123"/>
      <c r="AF615" s="123"/>
      <c r="AG615" s="119"/>
    </row>
    <row r="616"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P616" s="121"/>
      <c r="R616" s="122"/>
      <c r="AE616" s="123"/>
      <c r="AF616" s="123"/>
      <c r="AG616" s="119"/>
    </row>
    <row r="617"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P617" s="121"/>
      <c r="R617" s="122"/>
      <c r="AE617" s="123"/>
      <c r="AF617" s="123"/>
      <c r="AG617" s="119"/>
    </row>
    <row r="618"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P618" s="121"/>
      <c r="R618" s="122"/>
      <c r="AE618" s="123"/>
      <c r="AF618" s="123"/>
      <c r="AG618" s="119"/>
    </row>
    <row r="619"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P619" s="121"/>
      <c r="R619" s="122"/>
      <c r="AE619" s="123"/>
      <c r="AF619" s="123"/>
      <c r="AG619" s="119"/>
    </row>
    <row r="620"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P620" s="121"/>
      <c r="R620" s="122"/>
      <c r="AE620" s="123"/>
      <c r="AF620" s="123"/>
      <c r="AG620" s="119"/>
    </row>
    <row r="621"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P621" s="121"/>
      <c r="R621" s="122"/>
      <c r="AE621" s="123"/>
      <c r="AF621" s="123"/>
      <c r="AG621" s="119"/>
    </row>
    <row r="622"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P622" s="121"/>
      <c r="R622" s="122"/>
      <c r="AE622" s="123"/>
      <c r="AF622" s="123"/>
      <c r="AG622" s="119"/>
    </row>
    <row r="623"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P623" s="121"/>
      <c r="R623" s="122"/>
      <c r="AE623" s="123"/>
      <c r="AF623" s="123"/>
      <c r="AG623" s="119"/>
    </row>
    <row r="624"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P624" s="121"/>
      <c r="R624" s="122"/>
      <c r="AE624" s="123"/>
      <c r="AF624" s="123"/>
      <c r="AG624" s="119"/>
    </row>
    <row r="625"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P625" s="121"/>
      <c r="R625" s="122"/>
      <c r="AE625" s="123"/>
      <c r="AF625" s="123"/>
      <c r="AG625" s="119"/>
    </row>
    <row r="626"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P626" s="121"/>
      <c r="R626" s="122"/>
      <c r="AE626" s="123"/>
      <c r="AF626" s="123"/>
      <c r="AG626" s="119"/>
    </row>
    <row r="627"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P627" s="121"/>
      <c r="R627" s="122"/>
      <c r="AE627" s="123"/>
      <c r="AF627" s="123"/>
      <c r="AG627" s="119"/>
    </row>
    <row r="628"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P628" s="121"/>
      <c r="R628" s="122"/>
      <c r="AE628" s="123"/>
      <c r="AF628" s="123"/>
      <c r="AG628" s="119"/>
    </row>
    <row r="629"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P629" s="121"/>
      <c r="R629" s="122"/>
      <c r="AE629" s="123"/>
      <c r="AF629" s="123"/>
      <c r="AG629" s="119"/>
    </row>
    <row r="630"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P630" s="121"/>
      <c r="R630" s="122"/>
      <c r="AE630" s="123"/>
      <c r="AF630" s="123"/>
      <c r="AG630" s="119"/>
    </row>
    <row r="631"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P631" s="121"/>
      <c r="R631" s="122"/>
      <c r="AE631" s="123"/>
      <c r="AF631" s="123"/>
      <c r="AG631" s="119"/>
    </row>
    <row r="632"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P632" s="121"/>
      <c r="R632" s="122"/>
      <c r="AE632" s="123"/>
      <c r="AF632" s="123"/>
      <c r="AG632" s="119"/>
    </row>
    <row r="633"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P633" s="121"/>
      <c r="R633" s="122"/>
      <c r="AE633" s="123"/>
      <c r="AF633" s="123"/>
      <c r="AG633" s="119"/>
    </row>
    <row r="634"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P634" s="121"/>
      <c r="R634" s="122"/>
      <c r="AE634" s="123"/>
      <c r="AF634" s="123"/>
      <c r="AG634" s="119"/>
    </row>
    <row r="635"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P635" s="121"/>
      <c r="R635" s="122"/>
      <c r="AE635" s="123"/>
      <c r="AF635" s="123"/>
      <c r="AG635" s="119"/>
    </row>
    <row r="636"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P636" s="121"/>
      <c r="R636" s="122"/>
      <c r="AE636" s="123"/>
      <c r="AF636" s="123"/>
      <c r="AG636" s="119"/>
    </row>
    <row r="637"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P637" s="121"/>
      <c r="R637" s="122"/>
      <c r="AE637" s="123"/>
      <c r="AF637" s="123"/>
      <c r="AG637" s="119"/>
    </row>
    <row r="638"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P638" s="121"/>
      <c r="R638" s="122"/>
      <c r="AE638" s="123"/>
      <c r="AF638" s="123"/>
      <c r="AG638" s="119"/>
    </row>
    <row r="639"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P639" s="121"/>
      <c r="R639" s="122"/>
      <c r="AE639" s="123"/>
      <c r="AF639" s="123"/>
      <c r="AG639" s="119"/>
    </row>
    <row r="640"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P640" s="121"/>
      <c r="R640" s="122"/>
      <c r="AE640" s="123"/>
      <c r="AF640" s="123"/>
      <c r="AG640" s="119"/>
    </row>
    <row r="641"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P641" s="121"/>
      <c r="R641" s="122"/>
      <c r="AE641" s="123"/>
      <c r="AF641" s="123"/>
      <c r="AG641" s="119"/>
    </row>
    <row r="642"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P642" s="121"/>
      <c r="R642" s="122"/>
      <c r="AE642" s="123"/>
      <c r="AF642" s="123"/>
      <c r="AG642" s="119"/>
    </row>
    <row r="643"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P643" s="121"/>
      <c r="R643" s="122"/>
      <c r="AE643" s="123"/>
      <c r="AF643" s="123"/>
      <c r="AG643" s="119"/>
    </row>
    <row r="644"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P644" s="121"/>
      <c r="R644" s="122"/>
      <c r="AE644" s="123"/>
      <c r="AF644" s="123"/>
      <c r="AG644" s="119"/>
    </row>
    <row r="645"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P645" s="121"/>
      <c r="R645" s="122"/>
      <c r="AE645" s="123"/>
      <c r="AF645" s="123"/>
      <c r="AG645" s="119"/>
    </row>
    <row r="646"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P646" s="121"/>
      <c r="R646" s="122"/>
      <c r="AE646" s="123"/>
      <c r="AF646" s="123"/>
      <c r="AG646" s="119"/>
    </row>
    <row r="647"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P647" s="121"/>
      <c r="R647" s="122"/>
      <c r="AE647" s="123"/>
      <c r="AF647" s="123"/>
      <c r="AG647" s="119"/>
    </row>
    <row r="648"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P648" s="121"/>
      <c r="R648" s="122"/>
      <c r="AE648" s="123"/>
      <c r="AF648" s="123"/>
      <c r="AG648" s="119"/>
    </row>
    <row r="649"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P649" s="121"/>
      <c r="R649" s="122"/>
      <c r="AE649" s="123"/>
      <c r="AF649" s="123"/>
      <c r="AG649" s="119"/>
    </row>
    <row r="650"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P650" s="121"/>
      <c r="R650" s="122"/>
      <c r="AE650" s="123"/>
      <c r="AF650" s="123"/>
      <c r="AG650" s="119"/>
    </row>
    <row r="651"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P651" s="121"/>
      <c r="R651" s="122"/>
      <c r="AE651" s="123"/>
      <c r="AF651" s="123"/>
      <c r="AG651" s="119"/>
    </row>
    <row r="652"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P652" s="121"/>
      <c r="R652" s="122"/>
      <c r="AE652" s="123"/>
      <c r="AF652" s="123"/>
      <c r="AG652" s="119"/>
    </row>
    <row r="653"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P653" s="121"/>
      <c r="R653" s="122"/>
      <c r="AE653" s="123"/>
      <c r="AF653" s="123"/>
      <c r="AG653" s="119"/>
    </row>
    <row r="654"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P654" s="121"/>
      <c r="R654" s="122"/>
      <c r="AE654" s="123"/>
      <c r="AF654" s="123"/>
      <c r="AG654" s="119"/>
    </row>
    <row r="655"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P655" s="121"/>
      <c r="R655" s="122"/>
      <c r="AE655" s="123"/>
      <c r="AF655" s="123"/>
      <c r="AG655" s="119"/>
    </row>
    <row r="656"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P656" s="121"/>
      <c r="R656" s="122"/>
      <c r="AE656" s="123"/>
      <c r="AF656" s="123"/>
      <c r="AG656" s="119"/>
    </row>
    <row r="657"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P657" s="121"/>
      <c r="R657" s="122"/>
      <c r="AE657" s="123"/>
      <c r="AF657" s="123"/>
      <c r="AG657" s="119"/>
    </row>
    <row r="658"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P658" s="121"/>
      <c r="R658" s="122"/>
      <c r="AE658" s="123"/>
      <c r="AF658" s="123"/>
      <c r="AG658" s="119"/>
    </row>
    <row r="659"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P659" s="121"/>
      <c r="R659" s="122"/>
      <c r="AE659" s="123"/>
      <c r="AF659" s="123"/>
      <c r="AG659" s="119"/>
    </row>
    <row r="660"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P660" s="121"/>
      <c r="R660" s="122"/>
      <c r="AE660" s="123"/>
      <c r="AF660" s="123"/>
      <c r="AG660" s="119"/>
    </row>
    <row r="661"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P661" s="121"/>
      <c r="R661" s="122"/>
      <c r="AE661" s="123"/>
      <c r="AF661" s="123"/>
      <c r="AG661" s="119"/>
    </row>
    <row r="662"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P662" s="121"/>
      <c r="R662" s="122"/>
      <c r="AE662" s="123"/>
      <c r="AF662" s="123"/>
      <c r="AG662" s="119"/>
    </row>
    <row r="663"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P663" s="121"/>
      <c r="R663" s="122"/>
      <c r="AE663" s="123"/>
      <c r="AF663" s="123"/>
      <c r="AG663" s="119"/>
    </row>
    <row r="664"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P664" s="121"/>
      <c r="R664" s="122"/>
      <c r="AE664" s="123"/>
      <c r="AF664" s="123"/>
      <c r="AG664" s="119"/>
    </row>
    <row r="665"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P665" s="121"/>
      <c r="R665" s="122"/>
      <c r="AE665" s="123"/>
      <c r="AF665" s="123"/>
      <c r="AG665" s="119"/>
    </row>
    <row r="666"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P666" s="121"/>
      <c r="R666" s="122"/>
      <c r="AE666" s="123"/>
      <c r="AF666" s="123"/>
      <c r="AG666" s="119"/>
    </row>
    <row r="667"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P667" s="121"/>
      <c r="R667" s="122"/>
      <c r="AE667" s="123"/>
      <c r="AF667" s="123"/>
      <c r="AG667" s="119"/>
    </row>
    <row r="668"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P668" s="121"/>
      <c r="R668" s="122"/>
      <c r="AE668" s="123"/>
      <c r="AF668" s="123"/>
      <c r="AG668" s="119"/>
    </row>
    <row r="669"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P669" s="121"/>
      <c r="R669" s="122"/>
      <c r="AE669" s="123"/>
      <c r="AF669" s="123"/>
      <c r="AG669" s="119"/>
    </row>
    <row r="670"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P670" s="121"/>
      <c r="R670" s="122"/>
      <c r="AE670" s="123"/>
      <c r="AF670" s="123"/>
      <c r="AG670" s="119"/>
    </row>
    <row r="671"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P671" s="121"/>
      <c r="R671" s="122"/>
      <c r="AE671" s="123"/>
      <c r="AF671" s="123"/>
      <c r="AG671" s="119"/>
    </row>
    <row r="672"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P672" s="121"/>
      <c r="R672" s="122"/>
      <c r="AE672" s="123"/>
      <c r="AF672" s="123"/>
      <c r="AG672" s="119"/>
    </row>
    <row r="673"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P673" s="121"/>
      <c r="R673" s="122"/>
      <c r="AE673" s="123"/>
      <c r="AF673" s="123"/>
      <c r="AG673" s="119"/>
    </row>
    <row r="674"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P674" s="121"/>
      <c r="R674" s="122"/>
      <c r="AE674" s="123"/>
      <c r="AF674" s="123"/>
      <c r="AG674" s="119"/>
    </row>
    <row r="675"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P675" s="121"/>
      <c r="R675" s="122"/>
      <c r="AE675" s="123"/>
      <c r="AF675" s="123"/>
      <c r="AG675" s="119"/>
    </row>
    <row r="676"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P676" s="121"/>
      <c r="R676" s="122"/>
      <c r="AE676" s="123"/>
      <c r="AF676" s="123"/>
      <c r="AG676" s="119"/>
    </row>
    <row r="677"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P677" s="121"/>
      <c r="R677" s="122"/>
      <c r="AE677" s="123"/>
      <c r="AF677" s="123"/>
      <c r="AG677" s="119"/>
    </row>
    <row r="678"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P678" s="121"/>
      <c r="R678" s="122"/>
      <c r="AE678" s="123"/>
      <c r="AF678" s="123"/>
      <c r="AG678" s="119"/>
    </row>
    <row r="679"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P679" s="121"/>
      <c r="R679" s="122"/>
      <c r="AE679" s="123"/>
      <c r="AF679" s="123"/>
      <c r="AG679" s="119"/>
    </row>
    <row r="680"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P680" s="121"/>
      <c r="R680" s="122"/>
      <c r="AE680" s="123"/>
      <c r="AF680" s="123"/>
      <c r="AG680" s="119"/>
    </row>
    <row r="681"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P681" s="121"/>
      <c r="R681" s="122"/>
      <c r="AE681" s="123"/>
      <c r="AF681" s="123"/>
      <c r="AG681" s="119"/>
    </row>
    <row r="682"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P682" s="121"/>
      <c r="R682" s="122"/>
      <c r="AE682" s="123"/>
      <c r="AF682" s="123"/>
      <c r="AG682" s="119"/>
    </row>
    <row r="683"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P683" s="121"/>
      <c r="R683" s="122"/>
      <c r="AE683" s="123"/>
      <c r="AF683" s="123"/>
      <c r="AG683" s="119"/>
    </row>
    <row r="684"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P684" s="121"/>
      <c r="R684" s="122"/>
      <c r="AE684" s="123"/>
      <c r="AF684" s="123"/>
      <c r="AG684" s="119"/>
    </row>
    <row r="685"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P685" s="121"/>
      <c r="R685" s="122"/>
      <c r="AE685" s="123"/>
      <c r="AF685" s="123"/>
      <c r="AG685" s="119"/>
    </row>
    <row r="686"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P686" s="121"/>
      <c r="R686" s="122"/>
      <c r="AE686" s="123"/>
      <c r="AF686" s="123"/>
      <c r="AG686" s="119"/>
    </row>
    <row r="687"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P687" s="121"/>
      <c r="R687" s="122"/>
      <c r="AE687" s="123"/>
      <c r="AF687" s="123"/>
      <c r="AG687" s="119"/>
    </row>
    <row r="688"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P688" s="121"/>
      <c r="R688" s="122"/>
      <c r="AE688" s="123"/>
      <c r="AF688" s="123"/>
      <c r="AG688" s="119"/>
    </row>
    <row r="689"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P689" s="121"/>
      <c r="R689" s="122"/>
      <c r="AE689" s="123"/>
      <c r="AF689" s="123"/>
      <c r="AG689" s="119"/>
    </row>
    <row r="690"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P690" s="121"/>
      <c r="R690" s="122"/>
      <c r="AE690" s="123"/>
      <c r="AF690" s="123"/>
      <c r="AG690" s="119"/>
    </row>
    <row r="691"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P691" s="121"/>
      <c r="R691" s="122"/>
      <c r="AE691" s="123"/>
      <c r="AF691" s="123"/>
      <c r="AG691" s="119"/>
    </row>
    <row r="692"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P692" s="121"/>
      <c r="R692" s="122"/>
      <c r="AE692" s="123"/>
      <c r="AF692" s="123"/>
      <c r="AG692" s="119"/>
    </row>
    <row r="693"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P693" s="121"/>
      <c r="R693" s="122"/>
      <c r="AE693" s="123"/>
      <c r="AF693" s="123"/>
      <c r="AG693" s="119"/>
    </row>
    <row r="694"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P694" s="121"/>
      <c r="R694" s="122"/>
      <c r="AE694" s="123"/>
      <c r="AF694" s="123"/>
      <c r="AG694" s="119"/>
    </row>
    <row r="695"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P695" s="121"/>
      <c r="R695" s="122"/>
      <c r="AE695" s="123"/>
      <c r="AF695" s="123"/>
      <c r="AG695" s="119"/>
    </row>
    <row r="696"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P696" s="121"/>
      <c r="R696" s="122"/>
      <c r="AE696" s="123"/>
      <c r="AF696" s="123"/>
      <c r="AG696" s="119"/>
    </row>
    <row r="697"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P697" s="121"/>
      <c r="R697" s="122"/>
      <c r="AE697" s="123"/>
      <c r="AF697" s="123"/>
      <c r="AG697" s="119"/>
    </row>
    <row r="698"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P698" s="121"/>
      <c r="R698" s="122"/>
      <c r="AE698" s="123"/>
      <c r="AF698" s="123"/>
      <c r="AG698" s="119"/>
    </row>
    <row r="699"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P699" s="121"/>
      <c r="R699" s="122"/>
      <c r="AE699" s="123"/>
      <c r="AF699" s="123"/>
      <c r="AG699" s="119"/>
    </row>
    <row r="700"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P700" s="121"/>
      <c r="R700" s="122"/>
      <c r="AE700" s="123"/>
      <c r="AF700" s="123"/>
      <c r="AG700" s="119"/>
    </row>
    <row r="701"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P701" s="121"/>
      <c r="R701" s="122"/>
      <c r="AE701" s="123"/>
      <c r="AF701" s="123"/>
      <c r="AG701" s="119"/>
    </row>
    <row r="702"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P702" s="121"/>
      <c r="R702" s="122"/>
      <c r="AE702" s="123"/>
      <c r="AF702" s="123"/>
      <c r="AG702" s="119"/>
    </row>
    <row r="703"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P703" s="121"/>
      <c r="R703" s="122"/>
      <c r="AE703" s="123"/>
      <c r="AF703" s="123"/>
      <c r="AG703" s="119"/>
    </row>
    <row r="704"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P704" s="121"/>
      <c r="R704" s="122"/>
      <c r="AE704" s="123"/>
      <c r="AF704" s="123"/>
      <c r="AG704" s="119"/>
    </row>
    <row r="705"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P705" s="121"/>
      <c r="R705" s="122"/>
      <c r="AE705" s="123"/>
      <c r="AF705" s="123"/>
      <c r="AG705" s="119"/>
    </row>
    <row r="706"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P706" s="121"/>
      <c r="R706" s="122"/>
      <c r="AE706" s="123"/>
      <c r="AF706" s="123"/>
      <c r="AG706" s="119"/>
    </row>
    <row r="707"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P707" s="121"/>
      <c r="R707" s="122"/>
      <c r="AE707" s="123"/>
      <c r="AF707" s="123"/>
      <c r="AG707" s="119"/>
    </row>
    <row r="708"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P708" s="121"/>
      <c r="R708" s="122"/>
      <c r="AE708" s="123"/>
      <c r="AF708" s="123"/>
      <c r="AG708" s="119"/>
    </row>
    <row r="709"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P709" s="121"/>
      <c r="R709" s="122"/>
      <c r="AE709" s="123"/>
      <c r="AF709" s="123"/>
      <c r="AG709" s="119"/>
    </row>
    <row r="710"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P710" s="121"/>
      <c r="R710" s="122"/>
      <c r="AE710" s="123"/>
      <c r="AF710" s="123"/>
      <c r="AG710" s="119"/>
    </row>
    <row r="711"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P711" s="121"/>
      <c r="R711" s="122"/>
      <c r="AE711" s="123"/>
      <c r="AF711" s="123"/>
      <c r="AG711" s="119"/>
    </row>
    <row r="712"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P712" s="121"/>
      <c r="R712" s="122"/>
      <c r="AE712" s="123"/>
      <c r="AF712" s="123"/>
      <c r="AG712" s="119"/>
    </row>
    <row r="713"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P713" s="121"/>
      <c r="R713" s="122"/>
      <c r="AE713" s="123"/>
      <c r="AF713" s="123"/>
      <c r="AG713" s="119"/>
    </row>
    <row r="714"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P714" s="121"/>
      <c r="R714" s="122"/>
      <c r="AE714" s="123"/>
      <c r="AF714" s="123"/>
      <c r="AG714" s="119"/>
    </row>
    <row r="715"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P715" s="121"/>
      <c r="R715" s="122"/>
      <c r="AE715" s="123"/>
      <c r="AF715" s="123"/>
      <c r="AG715" s="119"/>
    </row>
    <row r="716"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P716" s="121"/>
      <c r="R716" s="122"/>
      <c r="AE716" s="123"/>
      <c r="AF716" s="123"/>
      <c r="AG716" s="119"/>
    </row>
    <row r="717"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P717" s="121"/>
      <c r="R717" s="122"/>
      <c r="AE717" s="123"/>
      <c r="AF717" s="123"/>
      <c r="AG717" s="119"/>
    </row>
    <row r="718"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P718" s="121"/>
      <c r="R718" s="122"/>
      <c r="AE718" s="123"/>
      <c r="AF718" s="123"/>
      <c r="AG718" s="119"/>
    </row>
    <row r="719"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P719" s="121"/>
      <c r="R719" s="122"/>
      <c r="AE719" s="123"/>
      <c r="AF719" s="123"/>
      <c r="AG719" s="119"/>
    </row>
    <row r="720"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P720" s="121"/>
      <c r="R720" s="122"/>
      <c r="AE720" s="123"/>
      <c r="AF720" s="123"/>
      <c r="AG720" s="119"/>
    </row>
    <row r="721"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P721" s="121"/>
      <c r="R721" s="122"/>
      <c r="AE721" s="123"/>
      <c r="AF721" s="123"/>
      <c r="AG721" s="119"/>
    </row>
    <row r="722"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P722" s="121"/>
      <c r="R722" s="122"/>
      <c r="AE722" s="123"/>
      <c r="AF722" s="123"/>
      <c r="AG722" s="119"/>
    </row>
    <row r="723"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P723" s="121"/>
      <c r="R723" s="122"/>
      <c r="AE723" s="123"/>
      <c r="AF723" s="123"/>
      <c r="AG723" s="119"/>
    </row>
    <row r="724"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P724" s="121"/>
      <c r="R724" s="122"/>
      <c r="AE724" s="123"/>
      <c r="AF724" s="123"/>
      <c r="AG724" s="119"/>
    </row>
    <row r="725"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P725" s="121"/>
      <c r="R725" s="122"/>
      <c r="AE725" s="123"/>
      <c r="AF725" s="123"/>
      <c r="AG725" s="119"/>
    </row>
    <row r="726"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P726" s="121"/>
      <c r="R726" s="122"/>
      <c r="AE726" s="123"/>
      <c r="AF726" s="123"/>
      <c r="AG726" s="119"/>
    </row>
    <row r="727"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P727" s="121"/>
      <c r="R727" s="122"/>
      <c r="AE727" s="123"/>
      <c r="AF727" s="123"/>
      <c r="AG727" s="119"/>
    </row>
    <row r="728"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P728" s="121"/>
      <c r="R728" s="122"/>
      <c r="AE728" s="123"/>
      <c r="AF728" s="123"/>
      <c r="AG728" s="119"/>
    </row>
    <row r="729"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P729" s="121"/>
      <c r="R729" s="122"/>
      <c r="AE729" s="123"/>
      <c r="AF729" s="123"/>
      <c r="AG729" s="119"/>
    </row>
    <row r="730"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P730" s="121"/>
      <c r="R730" s="122"/>
      <c r="AE730" s="123"/>
      <c r="AF730" s="123"/>
      <c r="AG730" s="119"/>
    </row>
    <row r="731"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P731" s="121"/>
      <c r="R731" s="122"/>
      <c r="AE731" s="123"/>
      <c r="AF731" s="123"/>
      <c r="AG731" s="119"/>
    </row>
    <row r="732"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P732" s="121"/>
      <c r="R732" s="122"/>
      <c r="AE732" s="123"/>
      <c r="AF732" s="123"/>
      <c r="AG732" s="119"/>
    </row>
    <row r="733"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P733" s="121"/>
      <c r="R733" s="122"/>
      <c r="AE733" s="123"/>
      <c r="AF733" s="123"/>
      <c r="AG733" s="119"/>
    </row>
    <row r="734"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P734" s="121"/>
      <c r="R734" s="122"/>
      <c r="AE734" s="123"/>
      <c r="AF734" s="123"/>
      <c r="AG734" s="119"/>
    </row>
    <row r="735"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P735" s="121"/>
      <c r="R735" s="122"/>
      <c r="AE735" s="123"/>
      <c r="AF735" s="123"/>
      <c r="AG735" s="119"/>
    </row>
    <row r="736"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P736" s="121"/>
      <c r="R736" s="122"/>
      <c r="AE736" s="123"/>
      <c r="AF736" s="123"/>
      <c r="AG736" s="119"/>
    </row>
    <row r="737"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P737" s="121"/>
      <c r="R737" s="122"/>
      <c r="AE737" s="123"/>
      <c r="AF737" s="123"/>
      <c r="AG737" s="119"/>
    </row>
    <row r="738"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P738" s="121"/>
      <c r="R738" s="122"/>
      <c r="AE738" s="123"/>
      <c r="AF738" s="123"/>
      <c r="AG738" s="119"/>
    </row>
    <row r="739"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P739" s="121"/>
      <c r="R739" s="122"/>
      <c r="AE739" s="123"/>
      <c r="AF739" s="123"/>
      <c r="AG739" s="119"/>
    </row>
    <row r="740"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P740" s="121"/>
      <c r="R740" s="122"/>
      <c r="AE740" s="123"/>
      <c r="AF740" s="123"/>
      <c r="AG740" s="119"/>
    </row>
    <row r="741"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P741" s="121"/>
      <c r="R741" s="122"/>
      <c r="AE741" s="123"/>
      <c r="AF741" s="123"/>
      <c r="AG741" s="119"/>
    </row>
    <row r="742"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P742" s="121"/>
      <c r="R742" s="122"/>
      <c r="AE742" s="123"/>
      <c r="AF742" s="123"/>
      <c r="AG742" s="119"/>
    </row>
    <row r="743"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P743" s="121"/>
      <c r="R743" s="122"/>
      <c r="AE743" s="123"/>
      <c r="AF743" s="123"/>
      <c r="AG743" s="119"/>
    </row>
    <row r="744"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P744" s="121"/>
      <c r="R744" s="122"/>
      <c r="AE744" s="123"/>
      <c r="AF744" s="123"/>
      <c r="AG744" s="119"/>
    </row>
    <row r="745"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P745" s="121"/>
      <c r="R745" s="122"/>
      <c r="AE745" s="123"/>
      <c r="AF745" s="123"/>
      <c r="AG745" s="119"/>
    </row>
    <row r="746"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P746" s="121"/>
      <c r="R746" s="122"/>
      <c r="AE746" s="123"/>
      <c r="AF746" s="123"/>
      <c r="AG746" s="119"/>
    </row>
    <row r="747"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P747" s="121"/>
      <c r="R747" s="122"/>
      <c r="AE747" s="123"/>
      <c r="AF747" s="123"/>
      <c r="AG747" s="119"/>
    </row>
    <row r="748"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P748" s="121"/>
      <c r="R748" s="122"/>
      <c r="AE748" s="123"/>
      <c r="AF748" s="123"/>
      <c r="AG748" s="119"/>
    </row>
    <row r="749"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P749" s="121"/>
      <c r="R749" s="122"/>
      <c r="AE749" s="123"/>
      <c r="AF749" s="123"/>
      <c r="AG749" s="119"/>
    </row>
    <row r="750"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P750" s="121"/>
      <c r="R750" s="122"/>
      <c r="AE750" s="123"/>
      <c r="AF750" s="123"/>
      <c r="AG750" s="119"/>
    </row>
    <row r="751"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P751" s="121"/>
      <c r="R751" s="122"/>
      <c r="AE751" s="123"/>
      <c r="AF751" s="123"/>
      <c r="AG751" s="119"/>
    </row>
    <row r="752"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P752" s="121"/>
      <c r="R752" s="122"/>
      <c r="AE752" s="123"/>
      <c r="AF752" s="123"/>
      <c r="AG752" s="119"/>
    </row>
    <row r="753"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P753" s="121"/>
      <c r="R753" s="122"/>
      <c r="AE753" s="123"/>
      <c r="AF753" s="123"/>
      <c r="AG753" s="119"/>
    </row>
    <row r="754"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P754" s="121"/>
      <c r="R754" s="122"/>
      <c r="AE754" s="123"/>
      <c r="AF754" s="123"/>
      <c r="AG754" s="119"/>
    </row>
    <row r="755"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P755" s="121"/>
      <c r="R755" s="122"/>
      <c r="AE755" s="123"/>
      <c r="AF755" s="123"/>
      <c r="AG755" s="119"/>
    </row>
    <row r="756"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P756" s="121"/>
      <c r="R756" s="122"/>
      <c r="AE756" s="123"/>
      <c r="AF756" s="123"/>
      <c r="AG756" s="119"/>
    </row>
    <row r="757"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P757" s="121"/>
      <c r="R757" s="122"/>
      <c r="AE757" s="123"/>
      <c r="AF757" s="123"/>
      <c r="AG757" s="119"/>
    </row>
    <row r="758"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P758" s="121"/>
      <c r="R758" s="122"/>
      <c r="AE758" s="123"/>
      <c r="AF758" s="123"/>
      <c r="AG758" s="119"/>
    </row>
    <row r="759"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P759" s="121"/>
      <c r="R759" s="122"/>
      <c r="AE759" s="123"/>
      <c r="AF759" s="123"/>
      <c r="AG759" s="119"/>
    </row>
    <row r="760"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P760" s="121"/>
      <c r="R760" s="122"/>
      <c r="AE760" s="123"/>
      <c r="AF760" s="123"/>
      <c r="AG760" s="119"/>
    </row>
    <row r="761"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P761" s="121"/>
      <c r="R761" s="122"/>
      <c r="AE761" s="123"/>
      <c r="AF761" s="123"/>
      <c r="AG761" s="119"/>
    </row>
    <row r="762"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P762" s="121"/>
      <c r="R762" s="122"/>
      <c r="AE762" s="123"/>
      <c r="AF762" s="123"/>
      <c r="AG762" s="119"/>
    </row>
    <row r="763"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P763" s="121"/>
      <c r="R763" s="122"/>
      <c r="AE763" s="123"/>
      <c r="AF763" s="123"/>
      <c r="AG763" s="119"/>
    </row>
    <row r="764"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P764" s="121"/>
      <c r="R764" s="122"/>
      <c r="AE764" s="123"/>
      <c r="AF764" s="123"/>
      <c r="AG764" s="119"/>
    </row>
    <row r="765"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P765" s="121"/>
      <c r="R765" s="122"/>
      <c r="AE765" s="123"/>
      <c r="AF765" s="123"/>
      <c r="AG765" s="119"/>
    </row>
    <row r="766"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P766" s="121"/>
      <c r="R766" s="122"/>
      <c r="AE766" s="123"/>
      <c r="AF766" s="123"/>
      <c r="AG766" s="119"/>
    </row>
    <row r="767"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P767" s="121"/>
      <c r="R767" s="122"/>
      <c r="AE767" s="123"/>
      <c r="AF767" s="123"/>
      <c r="AG767" s="119"/>
    </row>
    <row r="768"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P768" s="121"/>
      <c r="R768" s="122"/>
      <c r="AE768" s="123"/>
      <c r="AF768" s="123"/>
      <c r="AG768" s="119"/>
    </row>
    <row r="769"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P769" s="121"/>
      <c r="R769" s="122"/>
      <c r="AE769" s="123"/>
      <c r="AF769" s="123"/>
      <c r="AG769" s="119"/>
    </row>
    <row r="770"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P770" s="121"/>
      <c r="R770" s="122"/>
      <c r="AE770" s="123"/>
      <c r="AF770" s="123"/>
      <c r="AG770" s="119"/>
    </row>
    <row r="771"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P771" s="121"/>
      <c r="R771" s="122"/>
      <c r="AE771" s="123"/>
      <c r="AF771" s="123"/>
      <c r="AG771" s="119"/>
    </row>
    <row r="772"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P772" s="121"/>
      <c r="R772" s="122"/>
      <c r="AE772" s="123"/>
      <c r="AF772" s="123"/>
      <c r="AG772" s="119"/>
    </row>
    <row r="773"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P773" s="121"/>
      <c r="R773" s="122"/>
      <c r="AE773" s="123"/>
      <c r="AF773" s="123"/>
      <c r="AG773" s="119"/>
    </row>
    <row r="774"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P774" s="121"/>
      <c r="R774" s="122"/>
      <c r="AE774" s="123"/>
      <c r="AF774" s="123"/>
      <c r="AG774" s="119"/>
    </row>
    <row r="775"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P775" s="121"/>
      <c r="R775" s="122"/>
      <c r="AE775" s="123"/>
      <c r="AF775" s="123"/>
      <c r="AG775" s="119"/>
    </row>
    <row r="776"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P776" s="121"/>
      <c r="R776" s="122"/>
      <c r="AE776" s="123"/>
      <c r="AF776" s="123"/>
      <c r="AG776" s="119"/>
    </row>
    <row r="777"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P777" s="121"/>
      <c r="R777" s="122"/>
      <c r="AE777" s="123"/>
      <c r="AF777" s="123"/>
      <c r="AG777" s="119"/>
    </row>
    <row r="778"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P778" s="121"/>
      <c r="R778" s="122"/>
      <c r="AE778" s="123"/>
      <c r="AF778" s="123"/>
      <c r="AG778" s="119"/>
    </row>
    <row r="779"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P779" s="121"/>
      <c r="R779" s="122"/>
      <c r="AE779" s="123"/>
      <c r="AF779" s="123"/>
      <c r="AG779" s="119"/>
    </row>
    <row r="780"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P780" s="121"/>
      <c r="R780" s="122"/>
      <c r="AE780" s="123"/>
      <c r="AF780" s="123"/>
      <c r="AG780" s="119"/>
    </row>
    <row r="781"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P781" s="121"/>
      <c r="R781" s="122"/>
      <c r="AE781" s="123"/>
      <c r="AF781" s="123"/>
      <c r="AG781" s="119"/>
    </row>
    <row r="782"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P782" s="121"/>
      <c r="R782" s="122"/>
      <c r="AE782" s="123"/>
      <c r="AF782" s="123"/>
      <c r="AG782" s="119"/>
    </row>
    <row r="783"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P783" s="121"/>
      <c r="R783" s="122"/>
      <c r="AE783" s="123"/>
      <c r="AF783" s="123"/>
      <c r="AG783" s="119"/>
    </row>
    <row r="784"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P784" s="121"/>
      <c r="R784" s="122"/>
      <c r="AE784" s="123"/>
      <c r="AF784" s="123"/>
      <c r="AG784" s="119"/>
    </row>
    <row r="785"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P785" s="121"/>
      <c r="R785" s="122"/>
      <c r="AE785" s="123"/>
      <c r="AF785" s="123"/>
      <c r="AG785" s="119"/>
    </row>
    <row r="786"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P786" s="121"/>
      <c r="R786" s="122"/>
      <c r="AE786" s="123"/>
      <c r="AF786" s="123"/>
      <c r="AG786" s="119"/>
    </row>
    <row r="787"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P787" s="121"/>
      <c r="R787" s="122"/>
      <c r="AE787" s="123"/>
      <c r="AF787" s="123"/>
      <c r="AG787" s="119"/>
    </row>
    <row r="788"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P788" s="121"/>
      <c r="R788" s="122"/>
      <c r="AE788" s="123"/>
      <c r="AF788" s="123"/>
      <c r="AG788" s="119"/>
    </row>
    <row r="789"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P789" s="121"/>
      <c r="R789" s="122"/>
      <c r="AE789" s="123"/>
      <c r="AF789" s="123"/>
      <c r="AG789" s="119"/>
    </row>
    <row r="790"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P790" s="121"/>
      <c r="R790" s="122"/>
      <c r="AE790" s="123"/>
      <c r="AF790" s="123"/>
      <c r="AG790" s="119"/>
    </row>
    <row r="791"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P791" s="121"/>
      <c r="R791" s="122"/>
      <c r="AE791" s="123"/>
      <c r="AF791" s="123"/>
      <c r="AG791" s="119"/>
    </row>
    <row r="792"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P792" s="121"/>
      <c r="R792" s="122"/>
      <c r="AE792" s="123"/>
      <c r="AF792" s="123"/>
      <c r="AG792" s="119"/>
    </row>
    <row r="793"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P793" s="121"/>
      <c r="R793" s="122"/>
      <c r="AE793" s="123"/>
      <c r="AF793" s="123"/>
      <c r="AG793" s="119"/>
    </row>
    <row r="794"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P794" s="121"/>
      <c r="R794" s="122"/>
      <c r="AE794" s="123"/>
      <c r="AF794" s="123"/>
      <c r="AG794" s="119"/>
    </row>
    <row r="795"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P795" s="121"/>
      <c r="R795" s="122"/>
      <c r="AE795" s="123"/>
      <c r="AF795" s="123"/>
      <c r="AG795" s="119"/>
    </row>
    <row r="796"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P796" s="121"/>
      <c r="R796" s="122"/>
      <c r="AE796" s="123"/>
      <c r="AF796" s="123"/>
      <c r="AG796" s="119"/>
    </row>
    <row r="797"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P797" s="121"/>
      <c r="R797" s="122"/>
      <c r="AE797" s="123"/>
      <c r="AF797" s="123"/>
      <c r="AG797" s="119"/>
    </row>
    <row r="798"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P798" s="121"/>
      <c r="R798" s="122"/>
      <c r="AE798" s="123"/>
      <c r="AF798" s="123"/>
      <c r="AG798" s="119"/>
    </row>
    <row r="799"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P799" s="121"/>
      <c r="R799" s="122"/>
      <c r="AE799" s="123"/>
      <c r="AF799" s="123"/>
      <c r="AG799" s="119"/>
    </row>
    <row r="800"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P800" s="121"/>
      <c r="R800" s="122"/>
      <c r="AE800" s="123"/>
      <c r="AF800" s="123"/>
      <c r="AG800" s="119"/>
    </row>
    <row r="801"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P801" s="121"/>
      <c r="R801" s="122"/>
      <c r="AE801" s="123"/>
      <c r="AF801" s="123"/>
      <c r="AG801" s="119"/>
    </row>
    <row r="802"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P802" s="121"/>
      <c r="R802" s="122"/>
      <c r="AE802" s="123"/>
      <c r="AF802" s="123"/>
      <c r="AG802" s="119"/>
    </row>
    <row r="803"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P803" s="121"/>
      <c r="R803" s="122"/>
      <c r="AE803" s="123"/>
      <c r="AF803" s="123"/>
      <c r="AG803" s="119"/>
    </row>
    <row r="804"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P804" s="121"/>
      <c r="R804" s="122"/>
      <c r="AE804" s="123"/>
      <c r="AF804" s="123"/>
      <c r="AG804" s="119"/>
    </row>
    <row r="805"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P805" s="121"/>
      <c r="R805" s="122"/>
      <c r="AE805" s="123"/>
      <c r="AF805" s="123"/>
      <c r="AG805" s="119"/>
    </row>
    <row r="806"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P806" s="121"/>
      <c r="R806" s="122"/>
      <c r="AE806" s="123"/>
      <c r="AF806" s="123"/>
      <c r="AG806" s="119"/>
    </row>
    <row r="807"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P807" s="121"/>
      <c r="R807" s="122"/>
      <c r="AE807" s="123"/>
      <c r="AF807" s="123"/>
      <c r="AG807" s="119"/>
    </row>
    <row r="808"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P808" s="121"/>
      <c r="R808" s="122"/>
      <c r="AE808" s="123"/>
      <c r="AF808" s="123"/>
      <c r="AG808" s="119"/>
    </row>
    <row r="809"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P809" s="121"/>
      <c r="R809" s="122"/>
      <c r="AE809" s="123"/>
      <c r="AF809" s="123"/>
      <c r="AG809" s="119"/>
    </row>
    <row r="810"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P810" s="121"/>
      <c r="R810" s="122"/>
      <c r="AE810" s="123"/>
      <c r="AF810" s="123"/>
      <c r="AG810" s="119"/>
    </row>
    <row r="811"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P811" s="121"/>
      <c r="R811" s="122"/>
      <c r="AE811" s="123"/>
      <c r="AF811" s="123"/>
      <c r="AG811" s="119"/>
    </row>
    <row r="812"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P812" s="121"/>
      <c r="R812" s="122"/>
      <c r="AE812" s="123"/>
      <c r="AF812" s="123"/>
      <c r="AG812" s="119"/>
    </row>
    <row r="813"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P813" s="121"/>
      <c r="R813" s="122"/>
      <c r="AE813" s="123"/>
      <c r="AF813" s="123"/>
      <c r="AG813" s="119"/>
    </row>
    <row r="814"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P814" s="121"/>
      <c r="R814" s="122"/>
      <c r="AE814" s="123"/>
      <c r="AF814" s="123"/>
      <c r="AG814" s="119"/>
    </row>
    <row r="815"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P815" s="121"/>
      <c r="R815" s="122"/>
      <c r="AE815" s="123"/>
      <c r="AF815" s="123"/>
      <c r="AG815" s="119"/>
    </row>
    <row r="816"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P816" s="121"/>
      <c r="R816" s="122"/>
      <c r="AE816" s="123"/>
      <c r="AF816" s="123"/>
      <c r="AG816" s="119"/>
    </row>
    <row r="817"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P817" s="121"/>
      <c r="R817" s="122"/>
      <c r="AE817" s="123"/>
      <c r="AF817" s="123"/>
      <c r="AG817" s="119"/>
    </row>
    <row r="818"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P818" s="121"/>
      <c r="R818" s="122"/>
      <c r="AE818" s="123"/>
      <c r="AF818" s="123"/>
      <c r="AG818" s="119"/>
    </row>
    <row r="819"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P819" s="121"/>
      <c r="R819" s="122"/>
      <c r="AE819" s="123"/>
      <c r="AF819" s="123"/>
      <c r="AG819" s="119"/>
    </row>
    <row r="820"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P820" s="121"/>
      <c r="R820" s="122"/>
      <c r="AE820" s="123"/>
      <c r="AF820" s="123"/>
      <c r="AG820" s="119"/>
    </row>
    <row r="821"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P821" s="121"/>
      <c r="R821" s="122"/>
      <c r="AE821" s="123"/>
      <c r="AF821" s="123"/>
      <c r="AG821" s="119"/>
    </row>
    <row r="822"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P822" s="121"/>
      <c r="R822" s="122"/>
      <c r="AE822" s="123"/>
      <c r="AF822" s="123"/>
      <c r="AG822" s="119"/>
    </row>
    <row r="823"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P823" s="121"/>
      <c r="R823" s="122"/>
      <c r="AE823" s="123"/>
      <c r="AF823" s="123"/>
      <c r="AG823" s="119"/>
    </row>
    <row r="824"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P824" s="121"/>
      <c r="R824" s="122"/>
      <c r="AE824" s="123"/>
      <c r="AF824" s="123"/>
      <c r="AG824" s="119"/>
    </row>
    <row r="825"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P825" s="121"/>
      <c r="R825" s="122"/>
      <c r="AE825" s="123"/>
      <c r="AF825" s="123"/>
      <c r="AG825" s="119"/>
    </row>
    <row r="826"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P826" s="121"/>
      <c r="R826" s="122"/>
      <c r="AE826" s="123"/>
      <c r="AF826" s="123"/>
      <c r="AG826" s="119"/>
    </row>
    <row r="827"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P827" s="121"/>
      <c r="R827" s="122"/>
      <c r="AE827" s="123"/>
      <c r="AF827" s="123"/>
      <c r="AG827" s="119"/>
    </row>
    <row r="828"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P828" s="121"/>
      <c r="R828" s="122"/>
      <c r="AE828" s="123"/>
      <c r="AF828" s="123"/>
      <c r="AG828" s="119"/>
    </row>
    <row r="829"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P829" s="121"/>
      <c r="R829" s="122"/>
      <c r="AE829" s="123"/>
      <c r="AF829" s="123"/>
      <c r="AG829" s="119"/>
    </row>
    <row r="830"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P830" s="121"/>
      <c r="R830" s="122"/>
      <c r="AE830" s="123"/>
      <c r="AF830" s="123"/>
      <c r="AG830" s="119"/>
    </row>
    <row r="831"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P831" s="121"/>
      <c r="R831" s="122"/>
      <c r="AE831" s="123"/>
      <c r="AF831" s="123"/>
      <c r="AG831" s="119"/>
    </row>
    <row r="832"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P832" s="121"/>
      <c r="R832" s="122"/>
      <c r="AE832" s="123"/>
      <c r="AF832" s="123"/>
      <c r="AG832" s="119"/>
    </row>
    <row r="833"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P833" s="121"/>
      <c r="R833" s="122"/>
      <c r="AE833" s="123"/>
      <c r="AF833" s="123"/>
      <c r="AG833" s="119"/>
    </row>
    <row r="834"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P834" s="121"/>
      <c r="R834" s="122"/>
      <c r="AE834" s="123"/>
      <c r="AF834" s="123"/>
      <c r="AG834" s="119"/>
    </row>
    <row r="835"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P835" s="121"/>
      <c r="R835" s="122"/>
      <c r="AE835" s="123"/>
      <c r="AF835" s="123"/>
      <c r="AG835" s="119"/>
    </row>
    <row r="836"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P836" s="121"/>
      <c r="R836" s="122"/>
      <c r="AE836" s="123"/>
      <c r="AF836" s="123"/>
      <c r="AG836" s="119"/>
    </row>
    <row r="837"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P837" s="121"/>
      <c r="R837" s="122"/>
      <c r="AE837" s="123"/>
      <c r="AF837" s="123"/>
      <c r="AG837" s="119"/>
    </row>
    <row r="838"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P838" s="121"/>
      <c r="R838" s="122"/>
      <c r="AE838" s="123"/>
      <c r="AF838" s="123"/>
      <c r="AG838" s="119"/>
    </row>
    <row r="839"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P839" s="121"/>
      <c r="R839" s="122"/>
      <c r="AE839" s="123"/>
      <c r="AF839" s="123"/>
      <c r="AG839" s="119"/>
    </row>
    <row r="840"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P840" s="121"/>
      <c r="R840" s="122"/>
      <c r="AE840" s="123"/>
      <c r="AF840" s="123"/>
      <c r="AG840" s="119"/>
    </row>
    <row r="841"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P841" s="121"/>
      <c r="R841" s="122"/>
      <c r="AE841" s="123"/>
      <c r="AF841" s="123"/>
      <c r="AG841" s="119"/>
    </row>
    <row r="842"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P842" s="121"/>
      <c r="R842" s="122"/>
      <c r="AE842" s="123"/>
      <c r="AF842" s="123"/>
      <c r="AG842" s="119"/>
    </row>
    <row r="843"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P843" s="121"/>
      <c r="R843" s="122"/>
      <c r="AE843" s="123"/>
      <c r="AF843" s="123"/>
      <c r="AG843" s="119"/>
    </row>
    <row r="844"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P844" s="121"/>
      <c r="R844" s="122"/>
      <c r="AE844" s="123"/>
      <c r="AF844" s="123"/>
      <c r="AG844" s="119"/>
    </row>
    <row r="845"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P845" s="121"/>
      <c r="R845" s="122"/>
      <c r="AE845" s="123"/>
      <c r="AF845" s="123"/>
      <c r="AG845" s="119"/>
    </row>
    <row r="846"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P846" s="121"/>
      <c r="R846" s="122"/>
      <c r="AE846" s="123"/>
      <c r="AF846" s="123"/>
      <c r="AG846" s="119"/>
    </row>
    <row r="847"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P847" s="121"/>
      <c r="R847" s="122"/>
      <c r="AE847" s="123"/>
      <c r="AF847" s="123"/>
      <c r="AG847" s="119"/>
    </row>
    <row r="848"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P848" s="121"/>
      <c r="R848" s="122"/>
      <c r="AE848" s="123"/>
      <c r="AF848" s="123"/>
      <c r="AG848" s="119"/>
    </row>
    <row r="849"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P849" s="121"/>
      <c r="R849" s="122"/>
      <c r="AE849" s="123"/>
      <c r="AF849" s="123"/>
      <c r="AG849" s="119"/>
    </row>
    <row r="850"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P850" s="121"/>
      <c r="R850" s="122"/>
      <c r="AE850" s="123"/>
      <c r="AF850" s="123"/>
      <c r="AG850" s="119"/>
    </row>
    <row r="851"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P851" s="121"/>
      <c r="R851" s="122"/>
      <c r="AE851" s="123"/>
      <c r="AF851" s="123"/>
      <c r="AG851" s="119"/>
    </row>
    <row r="852"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P852" s="121"/>
      <c r="R852" s="122"/>
      <c r="AE852" s="123"/>
      <c r="AF852" s="123"/>
      <c r="AG852" s="119"/>
    </row>
    <row r="853"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P853" s="121"/>
      <c r="R853" s="122"/>
      <c r="AE853" s="123"/>
      <c r="AF853" s="123"/>
      <c r="AG853" s="119"/>
    </row>
    <row r="854"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P854" s="121"/>
      <c r="R854" s="122"/>
      <c r="AE854" s="123"/>
      <c r="AF854" s="123"/>
      <c r="AG854" s="119"/>
    </row>
    <row r="855"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P855" s="121"/>
      <c r="R855" s="122"/>
      <c r="AE855" s="123"/>
      <c r="AF855" s="123"/>
      <c r="AG855" s="119"/>
    </row>
    <row r="856"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P856" s="121"/>
      <c r="R856" s="122"/>
      <c r="AE856" s="123"/>
      <c r="AF856" s="123"/>
      <c r="AG856" s="119"/>
    </row>
    <row r="857"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P857" s="121"/>
      <c r="R857" s="122"/>
      <c r="AE857" s="123"/>
      <c r="AF857" s="123"/>
      <c r="AG857" s="119"/>
    </row>
    <row r="858"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P858" s="121"/>
      <c r="R858" s="122"/>
      <c r="AE858" s="123"/>
      <c r="AF858" s="123"/>
      <c r="AG858" s="119"/>
    </row>
    <row r="859"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P859" s="121"/>
      <c r="R859" s="122"/>
      <c r="AE859" s="123"/>
      <c r="AF859" s="123"/>
      <c r="AG859" s="119"/>
    </row>
    <row r="860"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P860" s="121"/>
      <c r="R860" s="122"/>
      <c r="AE860" s="123"/>
      <c r="AF860" s="123"/>
      <c r="AG860" s="119"/>
    </row>
    <row r="861"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P861" s="121"/>
      <c r="R861" s="122"/>
      <c r="AE861" s="123"/>
      <c r="AF861" s="123"/>
      <c r="AG861" s="119"/>
    </row>
    <row r="862"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P862" s="121"/>
      <c r="R862" s="122"/>
      <c r="AE862" s="123"/>
      <c r="AF862" s="123"/>
      <c r="AG862" s="119"/>
    </row>
    <row r="863"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P863" s="121"/>
      <c r="R863" s="122"/>
      <c r="AE863" s="123"/>
      <c r="AF863" s="123"/>
      <c r="AG863" s="119"/>
    </row>
    <row r="864"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P864" s="121"/>
      <c r="R864" s="122"/>
      <c r="AE864" s="123"/>
      <c r="AF864" s="123"/>
      <c r="AG864" s="119"/>
    </row>
    <row r="865"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P865" s="121"/>
      <c r="R865" s="122"/>
      <c r="AE865" s="123"/>
      <c r="AF865" s="123"/>
      <c r="AG865" s="119"/>
    </row>
    <row r="866"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P866" s="121"/>
      <c r="R866" s="122"/>
      <c r="AE866" s="123"/>
      <c r="AF866" s="123"/>
      <c r="AG866" s="119"/>
    </row>
    <row r="867"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P867" s="121"/>
      <c r="R867" s="122"/>
      <c r="AE867" s="123"/>
      <c r="AF867" s="123"/>
      <c r="AG867" s="119"/>
    </row>
    <row r="868"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P868" s="121"/>
      <c r="R868" s="122"/>
      <c r="AE868" s="123"/>
      <c r="AF868" s="123"/>
      <c r="AG868" s="119"/>
    </row>
    <row r="869"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P869" s="121"/>
      <c r="R869" s="122"/>
      <c r="AE869" s="123"/>
      <c r="AF869" s="123"/>
      <c r="AG869" s="119"/>
    </row>
    <row r="870"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P870" s="121"/>
      <c r="R870" s="122"/>
      <c r="AE870" s="123"/>
      <c r="AF870" s="123"/>
      <c r="AG870" s="119"/>
    </row>
    <row r="871"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P871" s="121"/>
      <c r="R871" s="122"/>
      <c r="AE871" s="123"/>
      <c r="AF871" s="123"/>
      <c r="AG871" s="119"/>
    </row>
    <row r="872"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P872" s="121"/>
      <c r="R872" s="122"/>
      <c r="AE872" s="123"/>
      <c r="AF872" s="123"/>
      <c r="AG872" s="119"/>
    </row>
    <row r="873"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P873" s="121"/>
      <c r="R873" s="122"/>
      <c r="AE873" s="123"/>
      <c r="AF873" s="123"/>
      <c r="AG873" s="119"/>
    </row>
    <row r="874"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P874" s="121"/>
      <c r="R874" s="122"/>
      <c r="AE874" s="123"/>
      <c r="AF874" s="123"/>
      <c r="AG874" s="119"/>
    </row>
    <row r="875"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P875" s="121"/>
      <c r="R875" s="122"/>
      <c r="AE875" s="123"/>
      <c r="AF875" s="123"/>
      <c r="AG875" s="119"/>
    </row>
    <row r="876"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P876" s="121"/>
      <c r="R876" s="122"/>
      <c r="AE876" s="123"/>
      <c r="AF876" s="123"/>
      <c r="AG876" s="119"/>
    </row>
    <row r="877"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P877" s="121"/>
      <c r="R877" s="122"/>
      <c r="AE877" s="123"/>
      <c r="AF877" s="123"/>
      <c r="AG877" s="119"/>
    </row>
    <row r="878"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P878" s="121"/>
      <c r="R878" s="122"/>
      <c r="AE878" s="123"/>
      <c r="AF878" s="123"/>
      <c r="AG878" s="119"/>
    </row>
    <row r="879"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P879" s="121"/>
      <c r="R879" s="122"/>
      <c r="AE879" s="123"/>
      <c r="AF879" s="123"/>
      <c r="AG879" s="119"/>
    </row>
    <row r="880"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P880" s="121"/>
      <c r="R880" s="122"/>
      <c r="AE880" s="123"/>
      <c r="AF880" s="123"/>
      <c r="AG880" s="119"/>
    </row>
    <row r="881"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P881" s="121"/>
      <c r="R881" s="122"/>
      <c r="AE881" s="123"/>
      <c r="AF881" s="123"/>
      <c r="AG881" s="119"/>
    </row>
    <row r="882"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P882" s="121"/>
      <c r="R882" s="122"/>
      <c r="AE882" s="123"/>
      <c r="AF882" s="123"/>
      <c r="AG882" s="119"/>
    </row>
    <row r="883"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P883" s="121"/>
      <c r="R883" s="122"/>
      <c r="AE883" s="123"/>
      <c r="AF883" s="123"/>
      <c r="AG883" s="119"/>
    </row>
    <row r="884"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P884" s="121"/>
      <c r="R884" s="122"/>
      <c r="AE884" s="123"/>
      <c r="AF884" s="123"/>
      <c r="AG884" s="119"/>
    </row>
    <row r="885"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P885" s="121"/>
      <c r="R885" s="122"/>
      <c r="AE885" s="123"/>
      <c r="AF885" s="123"/>
      <c r="AG885" s="119"/>
    </row>
    <row r="886"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P886" s="121"/>
      <c r="R886" s="122"/>
      <c r="AE886" s="123"/>
      <c r="AF886" s="123"/>
      <c r="AG886" s="119"/>
    </row>
    <row r="887"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P887" s="121"/>
      <c r="R887" s="122"/>
      <c r="AE887" s="123"/>
      <c r="AF887" s="123"/>
      <c r="AG887" s="119"/>
    </row>
    <row r="888"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P888" s="121"/>
      <c r="R888" s="122"/>
      <c r="AE888" s="123"/>
      <c r="AF888" s="123"/>
      <c r="AG888" s="119"/>
    </row>
    <row r="889"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P889" s="121"/>
      <c r="R889" s="122"/>
      <c r="AE889" s="123"/>
      <c r="AF889" s="123"/>
      <c r="AG889" s="119"/>
    </row>
    <row r="890"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P890" s="121"/>
      <c r="R890" s="122"/>
      <c r="AE890" s="123"/>
      <c r="AF890" s="123"/>
      <c r="AG890" s="119"/>
    </row>
    <row r="891"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P891" s="121"/>
      <c r="R891" s="122"/>
      <c r="AE891" s="123"/>
      <c r="AF891" s="123"/>
      <c r="AG891" s="119"/>
    </row>
    <row r="892"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P892" s="121"/>
      <c r="R892" s="122"/>
      <c r="AE892" s="123"/>
      <c r="AF892" s="123"/>
      <c r="AG892" s="119"/>
    </row>
    <row r="893"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P893" s="121"/>
      <c r="R893" s="122"/>
      <c r="AE893" s="123"/>
      <c r="AF893" s="123"/>
      <c r="AG893" s="119"/>
    </row>
    <row r="894"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P894" s="121"/>
      <c r="R894" s="122"/>
      <c r="AE894" s="123"/>
      <c r="AF894" s="123"/>
      <c r="AG894" s="119"/>
    </row>
    <row r="895"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P895" s="121"/>
      <c r="R895" s="122"/>
      <c r="AE895" s="123"/>
      <c r="AF895" s="123"/>
      <c r="AG895" s="119"/>
    </row>
    <row r="896"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P896" s="121"/>
      <c r="R896" s="122"/>
      <c r="AE896" s="123"/>
      <c r="AF896" s="123"/>
      <c r="AG896" s="119"/>
    </row>
    <row r="897"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P897" s="121"/>
      <c r="R897" s="122"/>
      <c r="AE897" s="123"/>
      <c r="AF897" s="123"/>
      <c r="AG897" s="119"/>
    </row>
    <row r="898"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P898" s="121"/>
      <c r="R898" s="122"/>
      <c r="AE898" s="123"/>
      <c r="AF898" s="123"/>
      <c r="AG898" s="119"/>
    </row>
    <row r="899"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P899" s="121"/>
      <c r="R899" s="122"/>
      <c r="AE899" s="123"/>
      <c r="AF899" s="123"/>
      <c r="AG899" s="119"/>
    </row>
    <row r="900"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P900" s="121"/>
      <c r="R900" s="122"/>
      <c r="AE900" s="123"/>
      <c r="AF900" s="123"/>
      <c r="AG900" s="119"/>
    </row>
    <row r="901"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P901" s="121"/>
      <c r="R901" s="122"/>
      <c r="AE901" s="123"/>
      <c r="AF901" s="123"/>
      <c r="AG901" s="119"/>
    </row>
    <row r="902"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P902" s="121"/>
      <c r="R902" s="122"/>
      <c r="AE902" s="123"/>
      <c r="AF902" s="123"/>
      <c r="AG902" s="119"/>
    </row>
    <row r="903"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P903" s="121"/>
      <c r="R903" s="122"/>
      <c r="AE903" s="123"/>
      <c r="AF903" s="123"/>
      <c r="AG903" s="119"/>
    </row>
    <row r="904"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P904" s="121"/>
      <c r="R904" s="122"/>
      <c r="AE904" s="123"/>
      <c r="AF904" s="123"/>
      <c r="AG904" s="119"/>
    </row>
    <row r="905"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P905" s="121"/>
      <c r="R905" s="122"/>
      <c r="AE905" s="123"/>
      <c r="AF905" s="123"/>
      <c r="AG905" s="119"/>
    </row>
    <row r="906"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P906" s="121"/>
      <c r="R906" s="122"/>
      <c r="AE906" s="123"/>
      <c r="AF906" s="123"/>
      <c r="AG906" s="119"/>
    </row>
    <row r="907"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P907" s="121"/>
      <c r="R907" s="122"/>
      <c r="AE907" s="123"/>
      <c r="AF907" s="123"/>
      <c r="AG907" s="119"/>
    </row>
    <row r="908"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P908" s="121"/>
      <c r="R908" s="122"/>
      <c r="AE908" s="123"/>
      <c r="AF908" s="123"/>
      <c r="AG908" s="119"/>
    </row>
    <row r="909"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P909" s="121"/>
      <c r="R909" s="122"/>
      <c r="AE909" s="123"/>
      <c r="AF909" s="123"/>
      <c r="AG909" s="119"/>
    </row>
    <row r="910"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P910" s="121"/>
      <c r="R910" s="122"/>
      <c r="AE910" s="123"/>
      <c r="AF910" s="123"/>
      <c r="AG910" s="119"/>
    </row>
    <row r="911"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P911" s="121"/>
      <c r="R911" s="122"/>
      <c r="AE911" s="123"/>
      <c r="AF911" s="123"/>
      <c r="AG911" s="119"/>
    </row>
    <row r="912"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P912" s="121"/>
      <c r="R912" s="122"/>
      <c r="AE912" s="123"/>
      <c r="AF912" s="123"/>
      <c r="AG912" s="119"/>
    </row>
    <row r="913"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P913" s="121"/>
      <c r="R913" s="122"/>
      <c r="AE913" s="123"/>
      <c r="AF913" s="123"/>
      <c r="AG913" s="119"/>
    </row>
    <row r="914"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P914" s="121"/>
      <c r="R914" s="122"/>
      <c r="AE914" s="123"/>
      <c r="AF914" s="123"/>
      <c r="AG914" s="119"/>
    </row>
    <row r="915"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P915" s="121"/>
      <c r="R915" s="122"/>
      <c r="AE915" s="123"/>
      <c r="AF915" s="123"/>
      <c r="AG915" s="119"/>
    </row>
    <row r="916"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P916" s="121"/>
      <c r="R916" s="122"/>
      <c r="AE916" s="123"/>
      <c r="AF916" s="123"/>
      <c r="AG916" s="119"/>
    </row>
    <row r="917"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P917" s="121"/>
      <c r="R917" s="122"/>
      <c r="AE917" s="123"/>
      <c r="AF917" s="123"/>
      <c r="AG917" s="119"/>
    </row>
    <row r="918"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P918" s="121"/>
      <c r="R918" s="122"/>
      <c r="AE918" s="123"/>
      <c r="AF918" s="123"/>
      <c r="AG918" s="119"/>
    </row>
    <row r="919"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P919" s="121"/>
      <c r="R919" s="122"/>
      <c r="AE919" s="123"/>
      <c r="AF919" s="123"/>
      <c r="AG919" s="119"/>
    </row>
    <row r="920"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P920" s="121"/>
      <c r="R920" s="122"/>
      <c r="AE920" s="123"/>
      <c r="AF920" s="123"/>
      <c r="AG920" s="119"/>
    </row>
    <row r="921"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P921" s="121"/>
      <c r="R921" s="122"/>
      <c r="AE921" s="123"/>
      <c r="AF921" s="123"/>
      <c r="AG921" s="119"/>
    </row>
    <row r="922"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P922" s="121"/>
      <c r="R922" s="122"/>
      <c r="AE922" s="123"/>
      <c r="AF922" s="123"/>
      <c r="AG922" s="119"/>
    </row>
    <row r="923"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P923" s="121"/>
      <c r="R923" s="122"/>
      <c r="AE923" s="123"/>
      <c r="AF923" s="123"/>
      <c r="AG923" s="119"/>
    </row>
    <row r="924"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P924" s="121"/>
      <c r="R924" s="122"/>
      <c r="AE924" s="123"/>
      <c r="AF924" s="123"/>
      <c r="AG924" s="119"/>
    </row>
    <row r="925"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P925" s="121"/>
      <c r="R925" s="122"/>
      <c r="AE925" s="123"/>
      <c r="AF925" s="123"/>
      <c r="AG925" s="119"/>
    </row>
    <row r="926"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P926" s="121"/>
      <c r="R926" s="122"/>
      <c r="AE926" s="123"/>
      <c r="AF926" s="123"/>
      <c r="AG926" s="119"/>
    </row>
    <row r="927"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P927" s="121"/>
      <c r="R927" s="122"/>
      <c r="AE927" s="123"/>
      <c r="AF927" s="123"/>
      <c r="AG927" s="119"/>
    </row>
    <row r="928"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P928" s="121"/>
      <c r="R928" s="122"/>
      <c r="AE928" s="123"/>
      <c r="AF928" s="123"/>
      <c r="AG928" s="119"/>
    </row>
    <row r="929"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P929" s="121"/>
      <c r="R929" s="122"/>
      <c r="AE929" s="123"/>
      <c r="AF929" s="123"/>
      <c r="AG929" s="119"/>
    </row>
    <row r="930"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P930" s="121"/>
      <c r="R930" s="122"/>
      <c r="AE930" s="123"/>
      <c r="AF930" s="123"/>
      <c r="AG930" s="119"/>
    </row>
    <row r="931"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P931" s="121"/>
      <c r="R931" s="122"/>
      <c r="AE931" s="123"/>
      <c r="AF931" s="123"/>
      <c r="AG931" s="119"/>
    </row>
    <row r="932"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P932" s="121"/>
      <c r="R932" s="122"/>
      <c r="AE932" s="123"/>
      <c r="AF932" s="123"/>
      <c r="AG932" s="119"/>
    </row>
    <row r="933"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P933" s="121"/>
      <c r="R933" s="122"/>
      <c r="AE933" s="123"/>
      <c r="AF933" s="123"/>
      <c r="AG933" s="119"/>
    </row>
    <row r="934"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P934" s="121"/>
      <c r="R934" s="122"/>
      <c r="AE934" s="123"/>
      <c r="AF934" s="123"/>
      <c r="AG934" s="119"/>
    </row>
    <row r="935"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P935" s="121"/>
      <c r="R935" s="122"/>
      <c r="AE935" s="123"/>
      <c r="AF935" s="123"/>
      <c r="AG935" s="119"/>
    </row>
    <row r="936"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P936" s="121"/>
      <c r="R936" s="122"/>
      <c r="AE936" s="123"/>
      <c r="AF936" s="123"/>
      <c r="AG936" s="119"/>
    </row>
    <row r="937"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P937" s="121"/>
      <c r="R937" s="122"/>
      <c r="AE937" s="123"/>
      <c r="AF937" s="123"/>
      <c r="AG937" s="119"/>
    </row>
    <row r="938"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P938" s="121"/>
      <c r="R938" s="122"/>
      <c r="AE938" s="123"/>
      <c r="AF938" s="123"/>
      <c r="AG938" s="119"/>
    </row>
    <row r="939"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P939" s="121"/>
      <c r="R939" s="122"/>
      <c r="AE939" s="123"/>
      <c r="AF939" s="123"/>
      <c r="AG939" s="119"/>
    </row>
    <row r="940"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P940" s="121"/>
      <c r="R940" s="122"/>
      <c r="AE940" s="123"/>
      <c r="AF940" s="123"/>
      <c r="AG940" s="119"/>
    </row>
    <row r="941"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P941" s="121"/>
      <c r="R941" s="122"/>
      <c r="AE941" s="123"/>
      <c r="AF941" s="123"/>
      <c r="AG941" s="119"/>
    </row>
    <row r="942"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P942" s="121"/>
      <c r="R942" s="122"/>
      <c r="AE942" s="123"/>
      <c r="AF942" s="123"/>
      <c r="AG942" s="119"/>
    </row>
    <row r="943"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P943" s="121"/>
      <c r="R943" s="122"/>
      <c r="AE943" s="123"/>
      <c r="AF943" s="123"/>
      <c r="AG943" s="119"/>
    </row>
    <row r="944"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P944" s="121"/>
      <c r="R944" s="122"/>
      <c r="AE944" s="123"/>
      <c r="AF944" s="123"/>
      <c r="AG944" s="119"/>
    </row>
    <row r="945"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P945" s="121"/>
      <c r="R945" s="122"/>
      <c r="AE945" s="123"/>
      <c r="AF945" s="123"/>
      <c r="AG945" s="119"/>
    </row>
    <row r="946"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P946" s="121"/>
      <c r="R946" s="122"/>
      <c r="AE946" s="123"/>
      <c r="AF946" s="123"/>
      <c r="AG946" s="119"/>
    </row>
    <row r="947"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P947" s="121"/>
      <c r="R947" s="122"/>
      <c r="AE947" s="123"/>
      <c r="AF947" s="123"/>
      <c r="AG947" s="119"/>
    </row>
    <row r="948"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P948" s="121"/>
      <c r="R948" s="122"/>
      <c r="AE948" s="123"/>
      <c r="AF948" s="123"/>
      <c r="AG948" s="119"/>
    </row>
    <row r="949"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P949" s="121"/>
      <c r="R949" s="122"/>
      <c r="AE949" s="123"/>
      <c r="AF949" s="123"/>
      <c r="AG949" s="119"/>
    </row>
    <row r="950"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P950" s="121"/>
      <c r="R950" s="122"/>
      <c r="AE950" s="123"/>
      <c r="AF950" s="123"/>
      <c r="AG950" s="119"/>
    </row>
    <row r="951"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P951" s="121"/>
      <c r="R951" s="122"/>
      <c r="AE951" s="123"/>
      <c r="AF951" s="123"/>
      <c r="AG951" s="119"/>
    </row>
    <row r="952"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P952" s="121"/>
      <c r="R952" s="122"/>
      <c r="AE952" s="123"/>
      <c r="AF952" s="123"/>
      <c r="AG952" s="119"/>
    </row>
    <row r="953"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P953" s="121"/>
      <c r="R953" s="122"/>
      <c r="AE953" s="123"/>
      <c r="AF953" s="123"/>
      <c r="AG953" s="119"/>
    </row>
    <row r="954"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P954" s="121"/>
      <c r="R954" s="122"/>
      <c r="AE954" s="123"/>
      <c r="AF954" s="123"/>
      <c r="AG954" s="119"/>
    </row>
    <row r="955"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P955" s="121"/>
      <c r="R955" s="122"/>
      <c r="AE955" s="123"/>
      <c r="AF955" s="123"/>
      <c r="AG955" s="119"/>
    </row>
    <row r="956"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P956" s="121"/>
      <c r="R956" s="122"/>
      <c r="AE956" s="123"/>
      <c r="AF956" s="123"/>
      <c r="AG956" s="119"/>
    </row>
    <row r="957"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P957" s="121"/>
      <c r="R957" s="122"/>
      <c r="AE957" s="123"/>
      <c r="AF957" s="123"/>
      <c r="AG957" s="119"/>
    </row>
    <row r="958"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P958" s="121"/>
      <c r="R958" s="122"/>
      <c r="AE958" s="123"/>
      <c r="AF958" s="123"/>
      <c r="AG958" s="119"/>
    </row>
    <row r="959"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P959" s="121"/>
      <c r="R959" s="122"/>
      <c r="AE959" s="123"/>
      <c r="AF959" s="123"/>
      <c r="AG959" s="119"/>
    </row>
    <row r="960"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P960" s="121"/>
      <c r="R960" s="122"/>
      <c r="AE960" s="123"/>
      <c r="AF960" s="123"/>
      <c r="AG960" s="119"/>
    </row>
    <row r="961"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P961" s="121"/>
      <c r="R961" s="122"/>
      <c r="AE961" s="123"/>
      <c r="AF961" s="123"/>
      <c r="AG961" s="119"/>
    </row>
    <row r="962"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P962" s="121"/>
      <c r="R962" s="122"/>
      <c r="AE962" s="123"/>
      <c r="AF962" s="123"/>
      <c r="AG962" s="119"/>
    </row>
    <row r="963"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P963" s="121"/>
      <c r="R963" s="122"/>
      <c r="AE963" s="123"/>
      <c r="AF963" s="123"/>
      <c r="AG963" s="119"/>
    </row>
    <row r="964"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P964" s="121"/>
      <c r="R964" s="122"/>
      <c r="AE964" s="123"/>
      <c r="AF964" s="123"/>
      <c r="AG964" s="119"/>
    </row>
    <row r="965"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P965" s="121"/>
      <c r="R965" s="122"/>
      <c r="AE965" s="123"/>
      <c r="AF965" s="123"/>
      <c r="AG965" s="119"/>
    </row>
    <row r="966"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P966" s="121"/>
      <c r="R966" s="122"/>
      <c r="AE966" s="123"/>
      <c r="AF966" s="123"/>
      <c r="AG966" s="119"/>
    </row>
    <row r="967"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P967" s="121"/>
      <c r="R967" s="122"/>
      <c r="AE967" s="123"/>
      <c r="AF967" s="123"/>
      <c r="AG967" s="119"/>
    </row>
    <row r="968"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P968" s="121"/>
      <c r="R968" s="122"/>
      <c r="AE968" s="123"/>
      <c r="AF968" s="123"/>
      <c r="AG968" s="119"/>
    </row>
    <row r="969"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P969" s="121"/>
      <c r="R969" s="122"/>
      <c r="AE969" s="123"/>
      <c r="AF969" s="123"/>
      <c r="AG969" s="119"/>
    </row>
    <row r="970"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P970" s="121"/>
      <c r="R970" s="122"/>
      <c r="AE970" s="123"/>
      <c r="AF970" s="123"/>
      <c r="AG970" s="119"/>
    </row>
    <row r="971"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P971" s="121"/>
      <c r="R971" s="122"/>
      <c r="AE971" s="123"/>
      <c r="AF971" s="123"/>
      <c r="AG971" s="119"/>
    </row>
    <row r="972"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P972" s="121"/>
      <c r="R972" s="122"/>
      <c r="AE972" s="123"/>
      <c r="AF972" s="123"/>
      <c r="AG972" s="119"/>
    </row>
    <row r="973"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P973" s="121"/>
      <c r="R973" s="122"/>
      <c r="AE973" s="123"/>
      <c r="AF973" s="123"/>
      <c r="AG973" s="119"/>
    </row>
    <row r="974"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P974" s="121"/>
      <c r="R974" s="122"/>
      <c r="AE974" s="123"/>
      <c r="AF974" s="123"/>
      <c r="AG974" s="119"/>
    </row>
    <row r="975"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P975" s="121"/>
      <c r="R975" s="122"/>
      <c r="AE975" s="123"/>
      <c r="AF975" s="123"/>
      <c r="AG975" s="119"/>
    </row>
    <row r="976"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P976" s="121"/>
      <c r="R976" s="122"/>
      <c r="AE976" s="123"/>
      <c r="AF976" s="123"/>
      <c r="AG976" s="119"/>
    </row>
    <row r="977"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P977" s="121"/>
      <c r="R977" s="122"/>
      <c r="AE977" s="123"/>
      <c r="AF977" s="123"/>
      <c r="AG977" s="119"/>
    </row>
    <row r="978"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P978" s="121"/>
      <c r="R978" s="122"/>
      <c r="AE978" s="123"/>
      <c r="AF978" s="123"/>
      <c r="AG978" s="119"/>
    </row>
    <row r="979"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P979" s="121"/>
      <c r="R979" s="122"/>
      <c r="AE979" s="123"/>
      <c r="AF979" s="123"/>
      <c r="AG979" s="119"/>
    </row>
    <row r="980"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P980" s="121"/>
      <c r="R980" s="122"/>
      <c r="AE980" s="123"/>
      <c r="AF980" s="123"/>
      <c r="AG980" s="119"/>
    </row>
    <row r="981"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P981" s="121"/>
      <c r="R981" s="122"/>
      <c r="AE981" s="123"/>
      <c r="AF981" s="123"/>
      <c r="AG981" s="119"/>
    </row>
    <row r="982"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P982" s="121"/>
      <c r="R982" s="122"/>
      <c r="AE982" s="123"/>
      <c r="AF982" s="123"/>
      <c r="AG982" s="119"/>
    </row>
    <row r="983"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P983" s="121"/>
      <c r="R983" s="122"/>
      <c r="AE983" s="123"/>
      <c r="AF983" s="123"/>
      <c r="AG983" s="119"/>
    </row>
    <row r="984"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P984" s="121"/>
      <c r="R984" s="122"/>
      <c r="AE984" s="123"/>
      <c r="AF984" s="123"/>
      <c r="AG984" s="119"/>
    </row>
    <row r="985"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P985" s="121"/>
      <c r="R985" s="122"/>
      <c r="AE985" s="123"/>
      <c r="AF985" s="123"/>
      <c r="AG985" s="119"/>
    </row>
    <row r="986"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P986" s="121"/>
      <c r="R986" s="122"/>
      <c r="AE986" s="123"/>
      <c r="AF986" s="123"/>
      <c r="AG986" s="119"/>
    </row>
    <row r="987"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P987" s="121"/>
      <c r="R987" s="122"/>
      <c r="AE987" s="123"/>
      <c r="AF987" s="123"/>
      <c r="AG987" s="119"/>
    </row>
    <row r="988"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P988" s="121"/>
      <c r="R988" s="122"/>
      <c r="AE988" s="123"/>
      <c r="AF988" s="123"/>
      <c r="AG988" s="119"/>
    </row>
    <row r="989"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P989" s="121"/>
      <c r="R989" s="122"/>
      <c r="AE989" s="123"/>
      <c r="AF989" s="123"/>
      <c r="AG989" s="119"/>
    </row>
    <row r="990"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P990" s="121"/>
      <c r="R990" s="122"/>
      <c r="AE990" s="123"/>
      <c r="AF990" s="123"/>
      <c r="AG990" s="119"/>
    </row>
    <row r="991"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P991" s="121"/>
      <c r="R991" s="122"/>
      <c r="AE991" s="123"/>
      <c r="AF991" s="123"/>
      <c r="AG991" s="119"/>
    </row>
    <row r="992"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P992" s="121"/>
      <c r="R992" s="122"/>
      <c r="AE992" s="123"/>
      <c r="AF992" s="123"/>
      <c r="AG992" s="119"/>
    </row>
    <row r="993"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P993" s="121"/>
      <c r="R993" s="122"/>
      <c r="AE993" s="123"/>
      <c r="AF993" s="123"/>
      <c r="AG993" s="119"/>
    </row>
    <row r="994"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P994" s="121"/>
      <c r="R994" s="122"/>
      <c r="AE994" s="123"/>
      <c r="AF994" s="123"/>
      <c r="AG994" s="119"/>
    </row>
    <row r="995"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P995" s="121"/>
      <c r="R995" s="122"/>
      <c r="AE995" s="123"/>
      <c r="AF995" s="123"/>
      <c r="AG995" s="119"/>
    </row>
    <row r="996"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P996" s="121"/>
      <c r="R996" s="122"/>
      <c r="AE996" s="123"/>
      <c r="AF996" s="123"/>
      <c r="AG996" s="119"/>
    </row>
    <row r="997"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P997" s="121"/>
      <c r="R997" s="122"/>
      <c r="AE997" s="123"/>
      <c r="AF997" s="123"/>
      <c r="AG997" s="119"/>
    </row>
    <row r="998"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P998" s="121"/>
      <c r="R998" s="122"/>
      <c r="AE998" s="123"/>
      <c r="AF998" s="123"/>
      <c r="AG998" s="119"/>
    </row>
    <row r="999"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P999" s="121"/>
      <c r="R999" s="122"/>
      <c r="AE999" s="123"/>
      <c r="AF999" s="123"/>
      <c r="AG999" s="119"/>
    </row>
    <row r="1000"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P1000" s="121"/>
      <c r="R1000" s="122"/>
      <c r="AE1000" s="123"/>
      <c r="AF1000" s="123"/>
      <c r="AG1000" s="119"/>
    </row>
    <row r="1001"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P1001" s="121"/>
      <c r="R1001" s="122"/>
      <c r="AE1001" s="123"/>
      <c r="AF1001" s="123"/>
      <c r="AG1001" s="119"/>
    </row>
    <row r="1002"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P1002" s="121"/>
      <c r="R1002" s="122"/>
      <c r="AE1002" s="123"/>
      <c r="AF1002" s="123"/>
      <c r="AG1002" s="119"/>
    </row>
    <row r="1003"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P1003" s="121"/>
      <c r="R1003" s="122"/>
      <c r="AE1003" s="123"/>
      <c r="AF1003" s="123"/>
      <c r="AG1003" s="119"/>
    </row>
  </sheetData>
  <mergeCells count="2">
    <mergeCell ref="A1:A2"/>
    <mergeCell ref="B1:B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2" max="2" width="18.88"/>
    <col customWidth="1" min="3" max="9" width="6.88"/>
    <col customWidth="1" min="10" max="26" width="6.13"/>
    <col customWidth="1" min="31" max="31" width="15.25"/>
  </cols>
  <sheetData>
    <row r="1" ht="28.5" customHeight="1">
      <c r="A1" s="1" t="s">
        <v>0</v>
      </c>
      <c r="B1" s="1" t="s">
        <v>1</v>
      </c>
      <c r="C1" s="124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4" t="s">
        <v>7</v>
      </c>
      <c r="I1" s="124" t="s">
        <v>8</v>
      </c>
      <c r="J1" s="124" t="s">
        <v>9</v>
      </c>
      <c r="K1" s="124" t="s">
        <v>10</v>
      </c>
      <c r="L1" s="124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25" t="s">
        <v>30</v>
      </c>
      <c r="AB1" s="1" t="s">
        <v>31</v>
      </c>
      <c r="AC1" s="126" t="s">
        <v>32</v>
      </c>
      <c r="AD1" s="7"/>
      <c r="AE1" s="7"/>
      <c r="AF1" s="7"/>
    </row>
    <row r="2">
      <c r="A2" s="8"/>
      <c r="B2" s="8"/>
      <c r="C2" s="127" t="s">
        <v>175</v>
      </c>
      <c r="D2" s="127">
        <f t="shared" ref="D2:P2" si="1">COUNTA(D3:D1001)</f>
        <v>28</v>
      </c>
      <c r="E2" s="127">
        <f t="shared" si="1"/>
        <v>19</v>
      </c>
      <c r="F2" s="127">
        <f t="shared" si="1"/>
        <v>10</v>
      </c>
      <c r="G2" s="127">
        <f t="shared" si="1"/>
        <v>18</v>
      </c>
      <c r="H2" s="127">
        <f t="shared" si="1"/>
        <v>24</v>
      </c>
      <c r="I2" s="127">
        <f t="shared" si="1"/>
        <v>12</v>
      </c>
      <c r="J2" s="127">
        <f t="shared" si="1"/>
        <v>26</v>
      </c>
      <c r="K2" s="127">
        <f t="shared" si="1"/>
        <v>32</v>
      </c>
      <c r="L2" s="127">
        <f t="shared" si="1"/>
        <v>21</v>
      </c>
      <c r="M2" s="10">
        <f t="shared" si="1"/>
        <v>23</v>
      </c>
      <c r="N2" s="10">
        <f t="shared" si="1"/>
        <v>17</v>
      </c>
      <c r="O2" s="10">
        <f t="shared" si="1"/>
        <v>21</v>
      </c>
      <c r="P2" s="11">
        <f t="shared" si="1"/>
        <v>55</v>
      </c>
      <c r="Q2" s="10">
        <v>18.0</v>
      </c>
      <c r="R2" s="10">
        <f t="shared" ref="R2:Z2" si="2">COUNTA(R3:R1001)</f>
        <v>10</v>
      </c>
      <c r="S2" s="10">
        <f t="shared" si="2"/>
        <v>19</v>
      </c>
      <c r="T2" s="10">
        <f t="shared" si="2"/>
        <v>29</v>
      </c>
      <c r="U2" s="10">
        <f t="shared" si="2"/>
        <v>33</v>
      </c>
      <c r="V2" s="10">
        <f t="shared" si="2"/>
        <v>24</v>
      </c>
      <c r="W2" s="10">
        <f t="shared" si="2"/>
        <v>18</v>
      </c>
      <c r="X2" s="10">
        <f t="shared" si="2"/>
        <v>23</v>
      </c>
      <c r="Y2" s="10">
        <f t="shared" si="2"/>
        <v>8</v>
      </c>
      <c r="Z2" s="10">
        <f t="shared" si="2"/>
        <v>14</v>
      </c>
      <c r="AA2" s="12">
        <v>70.0</v>
      </c>
      <c r="AB2" s="12" t="s">
        <v>34</v>
      </c>
      <c r="AC2" s="128">
        <v>24.0</v>
      </c>
      <c r="AD2" s="14"/>
      <c r="AE2" s="14"/>
      <c r="AF2" s="14"/>
      <c r="AG2" s="15"/>
      <c r="AH2" s="15"/>
      <c r="AI2" s="15"/>
      <c r="AJ2" s="15"/>
      <c r="AK2" s="15"/>
      <c r="AL2" s="15"/>
      <c r="AM2" s="15"/>
    </row>
    <row r="3">
      <c r="A3" s="16">
        <v>1.0</v>
      </c>
      <c r="B3" s="17" t="s">
        <v>35</v>
      </c>
      <c r="C3" s="129">
        <v>7.5</v>
      </c>
      <c r="D3" s="130">
        <v>10.0</v>
      </c>
      <c r="E3" s="131">
        <v>5.0</v>
      </c>
      <c r="F3" s="131">
        <v>10.0</v>
      </c>
      <c r="G3" s="131"/>
      <c r="H3" s="129">
        <v>7.5</v>
      </c>
      <c r="I3" s="129">
        <v>7.5</v>
      </c>
      <c r="J3" s="132">
        <v>5.0</v>
      </c>
      <c r="K3" s="129">
        <v>7.5</v>
      </c>
      <c r="L3" s="129">
        <v>7.5</v>
      </c>
      <c r="M3" s="22">
        <v>7.5</v>
      </c>
      <c r="N3" s="22">
        <v>7.5</v>
      </c>
      <c r="O3" s="23">
        <v>5.0</v>
      </c>
      <c r="P3" s="23">
        <v>5.0</v>
      </c>
      <c r="Q3" s="22">
        <v>2.5</v>
      </c>
      <c r="R3" s="23">
        <v>10.0</v>
      </c>
      <c r="S3" s="23">
        <v>5.0</v>
      </c>
      <c r="T3" s="22">
        <v>7.5</v>
      </c>
      <c r="U3" s="22">
        <v>7.5</v>
      </c>
      <c r="V3" s="23">
        <v>5.0</v>
      </c>
      <c r="W3" s="22">
        <v>7.5</v>
      </c>
      <c r="X3" s="24">
        <v>5.0</v>
      </c>
      <c r="Y3" s="25">
        <v>10.0</v>
      </c>
      <c r="Z3" s="24">
        <v>5.0</v>
      </c>
      <c r="AA3" s="93">
        <f t="shared" ref="AA3:AA150" si="3">sum(M3:Z3)</f>
        <v>90</v>
      </c>
      <c r="AB3" s="133">
        <f t="shared" ref="AB3:AB150" si="4">AA3/70%</f>
        <v>128.5714286</v>
      </c>
      <c r="AC3" s="134">
        <f t="shared" ref="AC3:AC150" si="5">COUNTIFS(C3:Z3, "&gt;=5")</f>
        <v>22</v>
      </c>
      <c r="AD3" s="32"/>
      <c r="AE3" s="32"/>
      <c r="AF3" s="32"/>
    </row>
    <row r="4">
      <c r="A4" s="33">
        <v>2.0</v>
      </c>
      <c r="B4" s="34" t="s">
        <v>36</v>
      </c>
      <c r="C4" s="131">
        <v>5.0</v>
      </c>
      <c r="D4" s="131">
        <v>5.0</v>
      </c>
      <c r="E4" s="131">
        <v>5.0</v>
      </c>
      <c r="F4" s="131">
        <v>10.0</v>
      </c>
      <c r="G4" s="135"/>
      <c r="H4" s="135"/>
      <c r="I4" s="135"/>
      <c r="J4" s="136"/>
      <c r="K4" s="137"/>
      <c r="L4" s="138"/>
      <c r="M4" s="39"/>
      <c r="N4" s="39"/>
      <c r="O4" s="39"/>
      <c r="P4" s="40"/>
      <c r="Q4" s="39"/>
      <c r="R4" s="39"/>
      <c r="S4" s="39"/>
      <c r="T4" s="39"/>
      <c r="U4" s="39"/>
      <c r="V4" s="39"/>
      <c r="W4" s="39"/>
      <c r="X4" s="41"/>
      <c r="Y4" s="42"/>
      <c r="Z4" s="41"/>
      <c r="AA4" s="93">
        <f t="shared" si="3"/>
        <v>0</v>
      </c>
      <c r="AB4" s="139">
        <f t="shared" si="4"/>
        <v>0</v>
      </c>
      <c r="AC4" s="134">
        <f t="shared" si="5"/>
        <v>4</v>
      </c>
      <c r="AD4" s="32"/>
      <c r="AE4" s="32"/>
      <c r="AF4" s="32"/>
    </row>
    <row r="5">
      <c r="A5" s="16">
        <v>3.0</v>
      </c>
      <c r="B5" s="140" t="s">
        <v>37</v>
      </c>
      <c r="C5" s="141">
        <v>7.5</v>
      </c>
      <c r="D5" s="131">
        <v>5.0</v>
      </c>
      <c r="E5" s="129">
        <v>7.5</v>
      </c>
      <c r="F5" s="135"/>
      <c r="G5" s="141">
        <v>7.5</v>
      </c>
      <c r="H5" s="131">
        <v>5.0</v>
      </c>
      <c r="I5" s="131">
        <v>5.0</v>
      </c>
      <c r="J5" s="132">
        <v>5.0</v>
      </c>
      <c r="K5" s="131">
        <v>5.0</v>
      </c>
      <c r="L5" s="142"/>
      <c r="M5" s="23"/>
      <c r="N5" s="23"/>
      <c r="O5" s="23">
        <v>5.0</v>
      </c>
      <c r="P5" s="40">
        <v>5.0</v>
      </c>
      <c r="Q5" s="39"/>
      <c r="R5" s="39"/>
      <c r="S5" s="39"/>
      <c r="T5" s="39">
        <v>5.0</v>
      </c>
      <c r="U5" s="39">
        <v>5.0</v>
      </c>
      <c r="V5" s="39">
        <v>5.0</v>
      </c>
      <c r="W5" s="39"/>
      <c r="X5" s="39">
        <v>5.0</v>
      </c>
      <c r="Y5" s="39"/>
      <c r="Z5" s="39"/>
      <c r="AA5" s="93">
        <f t="shared" si="3"/>
        <v>30</v>
      </c>
      <c r="AB5" s="139">
        <f t="shared" si="4"/>
        <v>42.85714286</v>
      </c>
      <c r="AC5" s="134">
        <f t="shared" si="5"/>
        <v>14</v>
      </c>
      <c r="AD5" s="32"/>
      <c r="AE5" s="32"/>
      <c r="AF5" s="32"/>
    </row>
    <row r="6">
      <c r="A6" s="33">
        <v>4.0</v>
      </c>
      <c r="B6" s="34" t="s">
        <v>38</v>
      </c>
      <c r="C6" s="131">
        <v>5.0</v>
      </c>
      <c r="D6" s="131">
        <v>5.0</v>
      </c>
      <c r="E6" s="131">
        <v>5.0</v>
      </c>
      <c r="F6" s="135"/>
      <c r="G6" s="129">
        <v>7.5</v>
      </c>
      <c r="H6" s="135"/>
      <c r="I6" s="135"/>
      <c r="J6" s="136"/>
      <c r="K6" s="137"/>
      <c r="L6" s="137"/>
      <c r="M6" s="39"/>
      <c r="N6" s="39"/>
      <c r="O6" s="42"/>
      <c r="P6" s="40"/>
      <c r="Q6" s="39"/>
      <c r="R6" s="39"/>
      <c r="S6" s="39"/>
      <c r="T6" s="39"/>
      <c r="U6" s="39"/>
      <c r="V6" s="39"/>
      <c r="W6" s="39"/>
      <c r="X6" s="39"/>
      <c r="Y6" s="39"/>
      <c r="Z6" s="39"/>
      <c r="AA6" s="93">
        <f t="shared" si="3"/>
        <v>0</v>
      </c>
      <c r="AB6" s="139">
        <f t="shared" si="4"/>
        <v>0</v>
      </c>
      <c r="AC6" s="134">
        <f t="shared" si="5"/>
        <v>4</v>
      </c>
      <c r="AD6" s="32"/>
      <c r="AE6" s="32"/>
      <c r="AF6" s="32"/>
    </row>
    <row r="7">
      <c r="A7" s="51">
        <v>5.0</v>
      </c>
      <c r="B7" s="52" t="s">
        <v>39</v>
      </c>
      <c r="C7" s="143">
        <v>5.0</v>
      </c>
      <c r="D7" s="144"/>
      <c r="E7" s="143">
        <v>5.0</v>
      </c>
      <c r="F7" s="144"/>
      <c r="G7" s="143">
        <v>5.0</v>
      </c>
      <c r="H7" s="143">
        <v>5.0</v>
      </c>
      <c r="I7" s="145">
        <v>7.5</v>
      </c>
      <c r="J7" s="146">
        <v>7.5</v>
      </c>
      <c r="K7" s="131">
        <v>5.0</v>
      </c>
      <c r="L7" s="131">
        <v>5.0</v>
      </c>
      <c r="M7" s="57"/>
      <c r="N7" s="23"/>
      <c r="O7" s="23"/>
      <c r="P7" s="40">
        <v>5.0</v>
      </c>
      <c r="Q7" s="39"/>
      <c r="R7" s="39">
        <v>10.0</v>
      </c>
      <c r="S7" s="39"/>
      <c r="T7" s="58"/>
      <c r="U7" s="58"/>
      <c r="V7" s="58"/>
      <c r="W7" s="39"/>
      <c r="X7" s="39"/>
      <c r="Y7" s="39">
        <v>10.0</v>
      </c>
      <c r="Z7" s="39"/>
      <c r="AA7" s="93">
        <f t="shared" si="3"/>
        <v>25</v>
      </c>
      <c r="AB7" s="139">
        <f t="shared" si="4"/>
        <v>35.71428571</v>
      </c>
      <c r="AC7" s="134">
        <f t="shared" si="5"/>
        <v>11</v>
      </c>
      <c r="AD7" s="59">
        <f>70*75%</f>
        <v>52.5</v>
      </c>
      <c r="AE7" s="60" t="s">
        <v>40</v>
      </c>
      <c r="AF7" s="32"/>
    </row>
    <row r="8">
      <c r="A8" s="16">
        <v>6.0</v>
      </c>
      <c r="B8" s="17" t="s">
        <v>41</v>
      </c>
      <c r="C8" s="143">
        <v>5.0</v>
      </c>
      <c r="D8" s="143">
        <v>5.0</v>
      </c>
      <c r="E8" s="143">
        <v>5.0</v>
      </c>
      <c r="F8" s="144"/>
      <c r="G8" s="143">
        <v>5.0</v>
      </c>
      <c r="H8" s="144"/>
      <c r="I8" s="144"/>
      <c r="J8" s="147">
        <v>5.0</v>
      </c>
      <c r="K8" s="143">
        <v>5.0</v>
      </c>
      <c r="L8" s="143">
        <v>5.0</v>
      </c>
      <c r="M8" s="39">
        <v>5.0</v>
      </c>
      <c r="N8" s="39">
        <v>5.0</v>
      </c>
      <c r="O8" s="42">
        <v>5.0</v>
      </c>
      <c r="P8" s="62">
        <v>5.0</v>
      </c>
      <c r="Q8" s="63">
        <v>7.5</v>
      </c>
      <c r="R8" s="23">
        <v>10.0</v>
      </c>
      <c r="S8" s="23"/>
      <c r="T8" s="62">
        <v>5.0</v>
      </c>
      <c r="U8" s="23"/>
      <c r="V8" s="22">
        <v>7.5</v>
      </c>
      <c r="W8" s="64">
        <v>5.0</v>
      </c>
      <c r="X8" s="65">
        <v>7.5</v>
      </c>
      <c r="Y8" s="64"/>
      <c r="Z8" s="25">
        <v>7.5</v>
      </c>
      <c r="AA8" s="93">
        <f t="shared" si="3"/>
        <v>70</v>
      </c>
      <c r="AB8" s="133">
        <f t="shared" si="4"/>
        <v>100</v>
      </c>
      <c r="AC8" s="134">
        <f t="shared" si="5"/>
        <v>18</v>
      </c>
      <c r="AD8" s="67">
        <v>10.0</v>
      </c>
      <c r="AE8" s="67" t="s">
        <v>42</v>
      </c>
      <c r="AF8" s="32"/>
    </row>
    <row r="9">
      <c r="A9" s="41">
        <v>7.0</v>
      </c>
      <c r="B9" s="68" t="s">
        <v>43</v>
      </c>
      <c r="C9" s="143">
        <v>5.0</v>
      </c>
      <c r="D9" s="144"/>
      <c r="E9" s="144"/>
      <c r="F9" s="144"/>
      <c r="G9" s="143">
        <v>5.0</v>
      </c>
      <c r="H9" s="144"/>
      <c r="I9" s="144"/>
      <c r="J9" s="136"/>
      <c r="K9" s="137"/>
      <c r="L9" s="137"/>
      <c r="M9" s="39">
        <v>5.0</v>
      </c>
      <c r="N9" s="39"/>
      <c r="O9" s="42"/>
      <c r="P9" s="40"/>
      <c r="Q9" s="39"/>
      <c r="R9" s="39"/>
      <c r="S9" s="39"/>
      <c r="T9" s="39"/>
      <c r="U9" s="39">
        <v>5.0</v>
      </c>
      <c r="V9" s="39">
        <v>5.0</v>
      </c>
      <c r="W9" s="41"/>
      <c r="X9" s="41">
        <v>5.0</v>
      </c>
      <c r="Y9" s="41"/>
      <c r="Z9" s="41"/>
      <c r="AA9" s="93">
        <f t="shared" si="3"/>
        <v>20</v>
      </c>
      <c r="AB9" s="139">
        <f t="shared" si="4"/>
        <v>28.57142857</v>
      </c>
      <c r="AC9" s="134">
        <f t="shared" si="5"/>
        <v>6</v>
      </c>
      <c r="AD9" s="60">
        <v>5.0</v>
      </c>
      <c r="AE9" s="60" t="s">
        <v>44</v>
      </c>
      <c r="AF9" s="32"/>
    </row>
    <row r="10">
      <c r="A10" s="41">
        <v>8.0</v>
      </c>
      <c r="B10" s="68" t="s">
        <v>45</v>
      </c>
      <c r="C10" s="143">
        <v>5.0</v>
      </c>
      <c r="D10" s="144"/>
      <c r="E10" s="144"/>
      <c r="F10" s="144"/>
      <c r="G10" s="143">
        <v>5.0</v>
      </c>
      <c r="H10" s="143">
        <v>5.0</v>
      </c>
      <c r="I10" s="143">
        <v>5.0</v>
      </c>
      <c r="J10" s="136"/>
      <c r="K10" s="143">
        <v>5.0</v>
      </c>
      <c r="L10" s="143">
        <v>5.0</v>
      </c>
      <c r="M10" s="39"/>
      <c r="N10" s="39"/>
      <c r="O10" s="42"/>
      <c r="P10" s="40">
        <v>5.0</v>
      </c>
      <c r="Q10" s="39"/>
      <c r="R10" s="39">
        <v>10.0</v>
      </c>
      <c r="S10" s="39"/>
      <c r="T10" s="39"/>
      <c r="U10" s="39"/>
      <c r="V10" s="39"/>
      <c r="W10" s="39"/>
      <c r="X10" s="39"/>
      <c r="Y10" s="39">
        <v>10.0</v>
      </c>
      <c r="Z10" s="39"/>
      <c r="AA10" s="93">
        <f t="shared" si="3"/>
        <v>25</v>
      </c>
      <c r="AB10" s="139">
        <f t="shared" si="4"/>
        <v>35.71428571</v>
      </c>
      <c r="AC10" s="134">
        <f t="shared" si="5"/>
        <v>9</v>
      </c>
      <c r="AD10" s="69" t="s">
        <v>176</v>
      </c>
      <c r="AE10" s="69" t="s">
        <v>47</v>
      </c>
      <c r="AF10" s="32"/>
    </row>
    <row r="11">
      <c r="A11" s="41">
        <v>9.0</v>
      </c>
      <c r="B11" s="68" t="s">
        <v>48</v>
      </c>
      <c r="C11" s="143">
        <v>5.0</v>
      </c>
      <c r="D11" s="144"/>
      <c r="E11" s="144"/>
      <c r="F11" s="144"/>
      <c r="G11" s="144"/>
      <c r="H11" s="144"/>
      <c r="I11" s="144"/>
      <c r="J11" s="136"/>
      <c r="K11" s="137"/>
      <c r="L11" s="137"/>
      <c r="M11" s="39"/>
      <c r="N11" s="39"/>
      <c r="O11" s="42"/>
      <c r="P11" s="40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93">
        <f t="shared" si="3"/>
        <v>0</v>
      </c>
      <c r="AB11" s="139">
        <f t="shared" si="4"/>
        <v>0</v>
      </c>
      <c r="AC11" s="134">
        <f t="shared" si="5"/>
        <v>1</v>
      </c>
      <c r="AD11" s="70" t="s">
        <v>177</v>
      </c>
      <c r="AE11" s="70" t="s">
        <v>50</v>
      </c>
      <c r="AF11" s="32"/>
    </row>
    <row r="12">
      <c r="A12" s="16">
        <v>10.0</v>
      </c>
      <c r="B12" s="17" t="s">
        <v>51</v>
      </c>
      <c r="C12" s="143">
        <v>5.0</v>
      </c>
      <c r="D12" s="143">
        <v>5.0</v>
      </c>
      <c r="E12" s="143">
        <v>5.0</v>
      </c>
      <c r="F12" s="143">
        <v>10.0</v>
      </c>
      <c r="G12" s="144"/>
      <c r="H12" s="143">
        <v>5.0</v>
      </c>
      <c r="I12" s="143">
        <v>5.0</v>
      </c>
      <c r="J12" s="132">
        <v>5.0</v>
      </c>
      <c r="K12" s="148"/>
      <c r="L12" s="131">
        <v>5.0</v>
      </c>
      <c r="M12" s="23">
        <v>5.0</v>
      </c>
      <c r="N12" s="23">
        <v>5.0</v>
      </c>
      <c r="O12" s="23">
        <v>5.0</v>
      </c>
      <c r="P12" s="23">
        <v>5.0</v>
      </c>
      <c r="Q12" s="23"/>
      <c r="R12" s="23">
        <v>10.0</v>
      </c>
      <c r="S12" s="23">
        <v>5.0</v>
      </c>
      <c r="T12" s="23">
        <v>5.0</v>
      </c>
      <c r="U12" s="23">
        <v>5.0</v>
      </c>
      <c r="V12" s="23">
        <v>5.0</v>
      </c>
      <c r="W12" s="64">
        <v>5.0</v>
      </c>
      <c r="X12" s="64">
        <v>5.0</v>
      </c>
      <c r="Y12" s="64">
        <v>10.0</v>
      </c>
      <c r="Z12" s="64">
        <v>5.0</v>
      </c>
      <c r="AA12" s="93">
        <f t="shared" si="3"/>
        <v>75</v>
      </c>
      <c r="AB12" s="133">
        <f t="shared" si="4"/>
        <v>107.1428571</v>
      </c>
      <c r="AC12" s="134">
        <f t="shared" si="5"/>
        <v>21</v>
      </c>
      <c r="AD12" s="32"/>
      <c r="AE12" s="32"/>
      <c r="AF12" s="32"/>
    </row>
    <row r="13">
      <c r="A13" s="41">
        <v>11.0</v>
      </c>
      <c r="B13" s="68" t="s">
        <v>52</v>
      </c>
      <c r="C13" s="143">
        <v>5.0</v>
      </c>
      <c r="D13" s="143">
        <v>5.0</v>
      </c>
      <c r="E13" s="144"/>
      <c r="F13" s="144"/>
      <c r="G13" s="144"/>
      <c r="H13" s="143">
        <v>5.0</v>
      </c>
      <c r="I13" s="144"/>
      <c r="J13" s="136"/>
      <c r="K13" s="143">
        <v>5.0</v>
      </c>
      <c r="L13" s="143">
        <v>5.0</v>
      </c>
      <c r="M13" s="39">
        <v>5.0</v>
      </c>
      <c r="N13" s="39"/>
      <c r="O13" s="42"/>
      <c r="P13" s="40">
        <v>5.0</v>
      </c>
      <c r="Q13" s="39">
        <v>5.0</v>
      </c>
      <c r="R13" s="39"/>
      <c r="S13" s="39">
        <v>5.0</v>
      </c>
      <c r="T13" s="39"/>
      <c r="U13" s="39">
        <v>5.0</v>
      </c>
      <c r="V13" s="39"/>
      <c r="W13" s="41">
        <v>5.0</v>
      </c>
      <c r="X13" s="73">
        <v>7.5</v>
      </c>
      <c r="Y13" s="41">
        <v>10.0</v>
      </c>
      <c r="Z13" s="41"/>
      <c r="AA13" s="93">
        <f t="shared" si="3"/>
        <v>47.5</v>
      </c>
      <c r="AB13" s="139">
        <f t="shared" si="4"/>
        <v>67.85714286</v>
      </c>
      <c r="AC13" s="134">
        <f t="shared" si="5"/>
        <v>13</v>
      </c>
      <c r="AD13" s="74" t="s">
        <v>53</v>
      </c>
      <c r="AE13" s="75"/>
      <c r="AF13" s="32"/>
    </row>
    <row r="14">
      <c r="A14" s="41">
        <v>12.0</v>
      </c>
      <c r="B14" s="68" t="s">
        <v>54</v>
      </c>
      <c r="C14" s="143">
        <v>5.0</v>
      </c>
      <c r="D14" s="143">
        <v>5.0</v>
      </c>
      <c r="E14" s="144"/>
      <c r="F14" s="143">
        <v>10.0</v>
      </c>
      <c r="G14" s="144"/>
      <c r="H14" s="144"/>
      <c r="I14" s="144"/>
      <c r="J14" s="147">
        <v>5.0</v>
      </c>
      <c r="K14" s="143">
        <v>5.0</v>
      </c>
      <c r="L14" s="137"/>
      <c r="M14" s="39">
        <v>5.0</v>
      </c>
      <c r="N14" s="39">
        <v>5.0</v>
      </c>
      <c r="O14" s="42"/>
      <c r="P14" s="40">
        <v>5.0</v>
      </c>
      <c r="Q14" s="39"/>
      <c r="R14" s="39">
        <v>10.0</v>
      </c>
      <c r="S14" s="39"/>
      <c r="T14" s="39"/>
      <c r="U14" s="39"/>
      <c r="V14" s="39"/>
      <c r="W14" s="39"/>
      <c r="X14" s="39"/>
      <c r="Y14" s="39">
        <v>10.0</v>
      </c>
      <c r="Z14" s="39"/>
      <c r="AA14" s="93">
        <f t="shared" si="3"/>
        <v>35</v>
      </c>
      <c r="AB14" s="139">
        <f t="shared" si="4"/>
        <v>50</v>
      </c>
      <c r="AC14" s="134">
        <f t="shared" si="5"/>
        <v>10</v>
      </c>
      <c r="AD14" s="76" t="s">
        <v>55</v>
      </c>
      <c r="AE14" s="77"/>
      <c r="AF14" s="32"/>
    </row>
    <row r="15">
      <c r="A15" s="41">
        <v>13.0</v>
      </c>
      <c r="B15" s="68" t="s">
        <v>56</v>
      </c>
      <c r="C15" s="143">
        <v>5.0</v>
      </c>
      <c r="D15" s="144"/>
      <c r="E15" s="144"/>
      <c r="F15" s="144"/>
      <c r="G15" s="144"/>
      <c r="H15" s="144"/>
      <c r="I15" s="144"/>
      <c r="J15" s="136"/>
      <c r="K15" s="137"/>
      <c r="L15" s="137"/>
      <c r="M15" s="39"/>
      <c r="N15" s="39"/>
      <c r="O15" s="42"/>
      <c r="P15" s="40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93">
        <f t="shared" si="3"/>
        <v>0</v>
      </c>
      <c r="AB15" s="139">
        <f t="shared" si="4"/>
        <v>0</v>
      </c>
      <c r="AC15" s="134">
        <f t="shared" si="5"/>
        <v>1</v>
      </c>
      <c r="AD15" s="32"/>
      <c r="AE15" s="32"/>
      <c r="AF15" s="32"/>
    </row>
    <row r="16">
      <c r="A16" s="41">
        <v>14.0</v>
      </c>
      <c r="B16" s="68" t="s">
        <v>57</v>
      </c>
      <c r="C16" s="143">
        <v>5.0</v>
      </c>
      <c r="D16" s="144"/>
      <c r="E16" s="144"/>
      <c r="F16" s="144"/>
      <c r="G16" s="144"/>
      <c r="H16" s="144"/>
      <c r="I16" s="144"/>
      <c r="J16" s="147">
        <v>5.0</v>
      </c>
      <c r="K16" s="137"/>
      <c r="L16" s="137"/>
      <c r="M16" s="39"/>
      <c r="N16" s="39"/>
      <c r="O16" s="42"/>
      <c r="P16" s="40"/>
      <c r="Q16" s="39"/>
      <c r="R16" s="39"/>
      <c r="S16" s="39"/>
      <c r="T16" s="39"/>
      <c r="U16" s="39"/>
      <c r="V16" s="39">
        <v>5.0</v>
      </c>
      <c r="W16" s="39"/>
      <c r="X16" s="39"/>
      <c r="Y16" s="39"/>
      <c r="Z16" s="39"/>
      <c r="AA16" s="93">
        <f t="shared" si="3"/>
        <v>5</v>
      </c>
      <c r="AB16" s="139">
        <f t="shared" si="4"/>
        <v>7.142857143</v>
      </c>
      <c r="AC16" s="134">
        <f t="shared" si="5"/>
        <v>3</v>
      </c>
      <c r="AD16" s="32"/>
      <c r="AE16" s="32"/>
      <c r="AF16" s="32"/>
    </row>
    <row r="17">
      <c r="A17" s="41">
        <v>15.0</v>
      </c>
      <c r="B17" s="68" t="s">
        <v>58</v>
      </c>
      <c r="C17" s="143">
        <v>5.0</v>
      </c>
      <c r="D17" s="143">
        <v>5.0</v>
      </c>
      <c r="E17" s="143">
        <v>5.0</v>
      </c>
      <c r="F17" s="144"/>
      <c r="G17" s="144"/>
      <c r="H17" s="144"/>
      <c r="I17" s="144"/>
      <c r="J17" s="147">
        <v>5.0</v>
      </c>
      <c r="K17" s="143">
        <v>5.0</v>
      </c>
      <c r="L17" s="143">
        <v>5.0</v>
      </c>
      <c r="M17" s="39"/>
      <c r="N17" s="39"/>
      <c r="O17" s="42"/>
      <c r="P17" s="40">
        <v>5.0</v>
      </c>
      <c r="Q17" s="39">
        <v>5.0</v>
      </c>
      <c r="R17" s="39"/>
      <c r="S17" s="39">
        <v>5.0</v>
      </c>
      <c r="T17" s="39">
        <v>5.0</v>
      </c>
      <c r="U17" s="39">
        <v>5.0</v>
      </c>
      <c r="V17" s="39"/>
      <c r="W17" s="39"/>
      <c r="X17" s="39">
        <v>5.0</v>
      </c>
      <c r="Y17" s="39"/>
      <c r="Z17" s="39"/>
      <c r="AA17" s="93">
        <f t="shared" si="3"/>
        <v>30</v>
      </c>
      <c r="AB17" s="139">
        <f t="shared" si="4"/>
        <v>42.85714286</v>
      </c>
      <c r="AC17" s="134">
        <f t="shared" si="5"/>
        <v>12</v>
      </c>
      <c r="AD17" s="32"/>
      <c r="AE17" s="32"/>
      <c r="AF17" s="32"/>
    </row>
    <row r="18">
      <c r="A18" s="41">
        <v>16.0</v>
      </c>
      <c r="B18" s="68" t="s">
        <v>59</v>
      </c>
      <c r="C18" s="143">
        <v>5.0</v>
      </c>
      <c r="D18" s="144"/>
      <c r="E18" s="144"/>
      <c r="F18" s="144"/>
      <c r="G18" s="144"/>
      <c r="H18" s="144"/>
      <c r="I18" s="144"/>
      <c r="J18" s="136"/>
      <c r="K18" s="143">
        <v>5.0</v>
      </c>
      <c r="L18" s="137"/>
      <c r="M18" s="39"/>
      <c r="N18" s="39"/>
      <c r="O18" s="42"/>
      <c r="P18" s="40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93">
        <f t="shared" si="3"/>
        <v>0</v>
      </c>
      <c r="AB18" s="139">
        <f t="shared" si="4"/>
        <v>0</v>
      </c>
      <c r="AC18" s="134">
        <f t="shared" si="5"/>
        <v>2</v>
      </c>
      <c r="AD18" s="32"/>
      <c r="AE18" s="32"/>
      <c r="AF18" s="32"/>
    </row>
    <row r="19">
      <c r="A19" s="51">
        <v>17.0</v>
      </c>
      <c r="B19" s="52" t="s">
        <v>60</v>
      </c>
      <c r="C19" s="149">
        <v>5.0</v>
      </c>
      <c r="D19" s="150"/>
      <c r="E19" s="150"/>
      <c r="F19" s="150"/>
      <c r="G19" s="149">
        <v>5.0</v>
      </c>
      <c r="H19" s="150"/>
      <c r="I19" s="149">
        <v>5.0</v>
      </c>
      <c r="J19" s="151"/>
      <c r="K19" s="149">
        <v>5.0</v>
      </c>
      <c r="L19" s="152"/>
      <c r="M19" s="64"/>
      <c r="N19" s="64"/>
      <c r="O19" s="24">
        <v>5.0</v>
      </c>
      <c r="P19" s="40">
        <v>5.0</v>
      </c>
      <c r="Q19" s="39"/>
      <c r="R19" s="39"/>
      <c r="S19" s="39"/>
      <c r="T19" s="39">
        <v>5.0</v>
      </c>
      <c r="U19" s="39"/>
      <c r="V19" s="39"/>
      <c r="W19" s="39"/>
      <c r="X19" s="39"/>
      <c r="Y19" s="39"/>
      <c r="Z19" s="39"/>
      <c r="AA19" s="93">
        <f t="shared" si="3"/>
        <v>15</v>
      </c>
      <c r="AB19" s="139">
        <f t="shared" si="4"/>
        <v>21.42857143</v>
      </c>
      <c r="AC19" s="134">
        <f t="shared" si="5"/>
        <v>7</v>
      </c>
      <c r="AD19" s="32"/>
      <c r="AE19" s="32"/>
      <c r="AF19" s="32"/>
    </row>
    <row r="20">
      <c r="A20" s="16">
        <v>18.0</v>
      </c>
      <c r="B20" s="140" t="s">
        <v>61</v>
      </c>
      <c r="C20" s="143">
        <v>5.0</v>
      </c>
      <c r="D20" s="143">
        <v>5.0</v>
      </c>
      <c r="E20" s="143">
        <v>5.0</v>
      </c>
      <c r="F20" s="144"/>
      <c r="G20" s="143">
        <v>5.0</v>
      </c>
      <c r="H20" s="143">
        <v>5.0</v>
      </c>
      <c r="I20" s="143">
        <v>5.0</v>
      </c>
      <c r="J20" s="132">
        <v>5.0</v>
      </c>
      <c r="K20" s="131">
        <v>5.0</v>
      </c>
      <c r="L20" s="131">
        <v>5.0</v>
      </c>
      <c r="M20" s="23">
        <v>5.0</v>
      </c>
      <c r="N20" s="23">
        <v>5.0</v>
      </c>
      <c r="O20" s="23">
        <v>5.0</v>
      </c>
      <c r="P20" s="23">
        <v>5.0</v>
      </c>
      <c r="Q20" s="23">
        <v>5.0</v>
      </c>
      <c r="R20" s="23"/>
      <c r="S20" s="23">
        <v>5.0</v>
      </c>
      <c r="T20" s="23">
        <v>5.0</v>
      </c>
      <c r="U20" s="23">
        <v>5.0</v>
      </c>
      <c r="V20" s="23">
        <v>5.0</v>
      </c>
      <c r="W20" s="64"/>
      <c r="X20" s="64">
        <v>5.0</v>
      </c>
      <c r="Y20" s="64"/>
      <c r="Z20" s="64"/>
      <c r="AA20" s="93">
        <f t="shared" si="3"/>
        <v>50</v>
      </c>
      <c r="AB20" s="139">
        <f t="shared" si="4"/>
        <v>71.42857143</v>
      </c>
      <c r="AC20" s="134">
        <f t="shared" si="5"/>
        <v>19</v>
      </c>
      <c r="AD20" s="32"/>
      <c r="AE20" s="32"/>
      <c r="AF20" s="32"/>
    </row>
    <row r="21">
      <c r="A21" s="41">
        <v>19.0</v>
      </c>
      <c r="B21" s="68" t="s">
        <v>62</v>
      </c>
      <c r="C21" s="143">
        <v>5.0</v>
      </c>
      <c r="D21" s="143">
        <v>5.0</v>
      </c>
      <c r="E21" s="144"/>
      <c r="F21" s="144"/>
      <c r="G21" s="144"/>
      <c r="H21" s="144"/>
      <c r="I21" s="144"/>
      <c r="J21" s="136"/>
      <c r="K21" s="137"/>
      <c r="L21" s="137"/>
      <c r="M21" s="39">
        <v>5.0</v>
      </c>
      <c r="N21" s="39"/>
      <c r="O21" s="42"/>
      <c r="P21" s="40"/>
      <c r="Q21" s="39"/>
      <c r="R21" s="39"/>
      <c r="S21" s="39"/>
      <c r="T21" s="39"/>
      <c r="U21" s="39"/>
      <c r="V21" s="39"/>
      <c r="W21" s="41"/>
      <c r="X21" s="41">
        <v>5.0</v>
      </c>
      <c r="Y21" s="41"/>
      <c r="Z21" s="41"/>
      <c r="AA21" s="93">
        <f t="shared" si="3"/>
        <v>10</v>
      </c>
      <c r="AB21" s="139">
        <f t="shared" si="4"/>
        <v>14.28571429</v>
      </c>
      <c r="AC21" s="134">
        <f t="shared" si="5"/>
        <v>4</v>
      </c>
      <c r="AD21" s="32"/>
      <c r="AE21" s="32"/>
      <c r="AF21" s="32"/>
    </row>
    <row r="22">
      <c r="A22" s="16">
        <v>20.0</v>
      </c>
      <c r="B22" s="17" t="s">
        <v>63</v>
      </c>
      <c r="C22" s="143">
        <v>5.0</v>
      </c>
      <c r="D22" s="143">
        <v>5.0</v>
      </c>
      <c r="E22" s="145">
        <v>7.5</v>
      </c>
      <c r="F22" s="143">
        <v>10.0</v>
      </c>
      <c r="G22" s="144"/>
      <c r="H22" s="145">
        <v>7.5</v>
      </c>
      <c r="I22" s="143">
        <v>5.0</v>
      </c>
      <c r="J22" s="153"/>
      <c r="K22" s="141">
        <v>7.5</v>
      </c>
      <c r="L22" s="141">
        <v>7.5</v>
      </c>
      <c r="M22" s="23"/>
      <c r="N22" s="23">
        <v>5.0</v>
      </c>
      <c r="O22" s="85">
        <v>7.5</v>
      </c>
      <c r="P22" s="85">
        <v>10.0</v>
      </c>
      <c r="Q22" s="62">
        <v>5.0</v>
      </c>
      <c r="R22" s="62">
        <v>10.0</v>
      </c>
      <c r="S22" s="62"/>
      <c r="T22" s="62"/>
      <c r="U22" s="62">
        <v>5.0</v>
      </c>
      <c r="V22" s="62">
        <v>5.0</v>
      </c>
      <c r="W22" s="65">
        <v>7.5</v>
      </c>
      <c r="X22" s="64"/>
      <c r="Y22" s="64">
        <v>10.0</v>
      </c>
      <c r="Z22" s="65">
        <v>7.5</v>
      </c>
      <c r="AA22" s="93">
        <f t="shared" si="3"/>
        <v>72.5</v>
      </c>
      <c r="AB22" s="133">
        <f t="shared" si="4"/>
        <v>103.5714286</v>
      </c>
      <c r="AC22" s="134">
        <f t="shared" si="5"/>
        <v>18</v>
      </c>
      <c r="AD22" s="32"/>
      <c r="AE22" s="32"/>
      <c r="AF22" s="32"/>
    </row>
    <row r="23">
      <c r="A23" s="16">
        <v>21.0</v>
      </c>
      <c r="B23" s="17" t="s">
        <v>64</v>
      </c>
      <c r="C23" s="143">
        <v>5.0</v>
      </c>
      <c r="D23" s="143">
        <v>5.0</v>
      </c>
      <c r="E23" s="143">
        <v>5.0</v>
      </c>
      <c r="F23" s="145">
        <v>12.5</v>
      </c>
      <c r="G23" s="144"/>
      <c r="H23" s="143">
        <v>5.0</v>
      </c>
      <c r="I23" s="144"/>
      <c r="J23" s="154">
        <v>7.5</v>
      </c>
      <c r="K23" s="131">
        <v>5.0</v>
      </c>
      <c r="L23" s="131">
        <v>5.0</v>
      </c>
      <c r="M23" s="23">
        <v>5.0</v>
      </c>
      <c r="N23" s="63">
        <v>7.5</v>
      </c>
      <c r="O23" s="63">
        <v>7.5</v>
      </c>
      <c r="P23" s="23">
        <v>5.0</v>
      </c>
      <c r="Q23" s="23">
        <v>5.0</v>
      </c>
      <c r="R23" s="23"/>
      <c r="S23" s="85">
        <v>7.5</v>
      </c>
      <c r="T23" s="63">
        <v>7.5</v>
      </c>
      <c r="U23" s="62">
        <v>5.0</v>
      </c>
      <c r="V23" s="62">
        <v>5.0</v>
      </c>
      <c r="W23" s="88"/>
      <c r="X23" s="88">
        <v>5.0</v>
      </c>
      <c r="Y23" s="88"/>
      <c r="Z23" s="88"/>
      <c r="AA23" s="93">
        <f t="shared" si="3"/>
        <v>60</v>
      </c>
      <c r="AB23" s="133">
        <f t="shared" si="4"/>
        <v>85.71428571</v>
      </c>
      <c r="AC23" s="134">
        <f t="shared" si="5"/>
        <v>18</v>
      </c>
      <c r="AD23" s="32"/>
      <c r="AE23" s="32"/>
      <c r="AF23" s="32"/>
    </row>
    <row r="24">
      <c r="A24" s="41">
        <v>22.0</v>
      </c>
      <c r="B24" s="68" t="s">
        <v>65</v>
      </c>
      <c r="C24" s="143">
        <v>5.0</v>
      </c>
      <c r="D24" s="144"/>
      <c r="E24" s="144"/>
      <c r="F24" s="144"/>
      <c r="G24" s="144"/>
      <c r="H24" s="144"/>
      <c r="I24" s="144"/>
      <c r="J24" s="136"/>
      <c r="K24" s="137"/>
      <c r="L24" s="137"/>
      <c r="M24" s="39"/>
      <c r="N24" s="39"/>
      <c r="O24" s="42"/>
      <c r="P24" s="40"/>
      <c r="Q24" s="39"/>
      <c r="R24" s="39"/>
      <c r="S24" s="39"/>
      <c r="T24" s="39"/>
      <c r="U24" s="44"/>
      <c r="V24" s="39"/>
      <c r="W24" s="41"/>
      <c r="X24" s="41"/>
      <c r="Y24" s="41"/>
      <c r="Z24" s="41"/>
      <c r="AA24" s="93">
        <f t="shared" si="3"/>
        <v>0</v>
      </c>
      <c r="AB24" s="139">
        <f t="shared" si="4"/>
        <v>0</v>
      </c>
      <c r="AC24" s="134">
        <f t="shared" si="5"/>
        <v>1</v>
      </c>
      <c r="AD24" s="32"/>
      <c r="AE24" s="32"/>
      <c r="AF24" s="32"/>
    </row>
    <row r="25">
      <c r="A25" s="41">
        <v>23.0</v>
      </c>
      <c r="B25" s="68" t="s">
        <v>66</v>
      </c>
      <c r="C25" s="143">
        <v>5.0</v>
      </c>
      <c r="D25" s="143">
        <v>5.0</v>
      </c>
      <c r="E25" s="143">
        <v>5.0</v>
      </c>
      <c r="F25" s="144"/>
      <c r="G25" s="144"/>
      <c r="H25" s="143">
        <v>5.0</v>
      </c>
      <c r="I25" s="144"/>
      <c r="J25" s="147">
        <v>5.0</v>
      </c>
      <c r="K25" s="143">
        <v>5.0</v>
      </c>
      <c r="L25" s="143">
        <v>5.0</v>
      </c>
      <c r="M25" s="39">
        <v>5.0</v>
      </c>
      <c r="N25" s="39"/>
      <c r="O25" s="42">
        <v>5.0</v>
      </c>
      <c r="P25" s="40">
        <v>5.0</v>
      </c>
      <c r="Q25" s="39">
        <v>5.0</v>
      </c>
      <c r="R25" s="39"/>
      <c r="S25" s="39"/>
      <c r="T25" s="39">
        <v>5.0</v>
      </c>
      <c r="U25" s="42">
        <v>5.0</v>
      </c>
      <c r="V25" s="39"/>
      <c r="W25" s="39"/>
      <c r="X25" s="39">
        <v>5.0</v>
      </c>
      <c r="Y25" s="39"/>
      <c r="Z25" s="39"/>
      <c r="AA25" s="93">
        <f t="shared" si="3"/>
        <v>35</v>
      </c>
      <c r="AB25" s="139">
        <f t="shared" si="4"/>
        <v>50</v>
      </c>
      <c r="AC25" s="134">
        <f t="shared" si="5"/>
        <v>14</v>
      </c>
      <c r="AD25" s="32"/>
      <c r="AE25" s="32"/>
      <c r="AF25" s="32"/>
    </row>
    <row r="26">
      <c r="A26" s="41">
        <v>24.0</v>
      </c>
      <c r="B26" s="68" t="s">
        <v>67</v>
      </c>
      <c r="C26" s="143">
        <v>5.0</v>
      </c>
      <c r="D26" s="144"/>
      <c r="E26" s="144"/>
      <c r="F26" s="144"/>
      <c r="G26" s="144"/>
      <c r="H26" s="143">
        <v>5.0</v>
      </c>
      <c r="I26" s="144"/>
      <c r="J26" s="147">
        <v>5.0</v>
      </c>
      <c r="K26" s="137"/>
      <c r="L26" s="137"/>
      <c r="M26" s="39"/>
      <c r="N26" s="39">
        <v>5.0</v>
      </c>
      <c r="O26" s="42">
        <v>5.0</v>
      </c>
      <c r="P26" s="40">
        <v>5.0</v>
      </c>
      <c r="Q26" s="39"/>
      <c r="R26" s="39"/>
      <c r="S26" s="39">
        <v>5.0</v>
      </c>
      <c r="T26" s="39">
        <v>5.0</v>
      </c>
      <c r="U26" s="42">
        <v>5.0</v>
      </c>
      <c r="V26" s="39">
        <v>5.0</v>
      </c>
      <c r="W26" s="39"/>
      <c r="X26" s="39">
        <v>5.0</v>
      </c>
      <c r="Y26" s="39"/>
      <c r="Z26" s="39"/>
      <c r="AA26" s="93">
        <f t="shared" si="3"/>
        <v>40</v>
      </c>
      <c r="AB26" s="139">
        <f t="shared" si="4"/>
        <v>57.14285714</v>
      </c>
      <c r="AC26" s="134">
        <f t="shared" si="5"/>
        <v>11</v>
      </c>
      <c r="AD26" s="32"/>
      <c r="AE26" s="32"/>
      <c r="AF26" s="32"/>
    </row>
    <row r="27">
      <c r="A27" s="16">
        <v>25.0</v>
      </c>
      <c r="B27" s="17" t="s">
        <v>68</v>
      </c>
      <c r="C27" s="143">
        <v>5.0</v>
      </c>
      <c r="D27" s="144"/>
      <c r="E27" s="143">
        <v>5.0</v>
      </c>
      <c r="F27" s="144"/>
      <c r="G27" s="143">
        <v>5.0</v>
      </c>
      <c r="H27" s="143">
        <v>5.0</v>
      </c>
      <c r="I27" s="143">
        <v>5.0</v>
      </c>
      <c r="J27" s="147">
        <v>5.0</v>
      </c>
      <c r="K27" s="143">
        <v>5.0</v>
      </c>
      <c r="L27" s="143">
        <v>5.0</v>
      </c>
      <c r="M27" s="63">
        <v>7.5</v>
      </c>
      <c r="N27" s="23">
        <v>5.0</v>
      </c>
      <c r="O27" s="23">
        <v>5.0</v>
      </c>
      <c r="P27" s="23">
        <v>5.0</v>
      </c>
      <c r="Q27" s="23">
        <v>5.0</v>
      </c>
      <c r="R27" s="23"/>
      <c r="S27" s="63">
        <v>7.5</v>
      </c>
      <c r="T27" s="62">
        <v>5.0</v>
      </c>
      <c r="U27" s="63">
        <v>7.5</v>
      </c>
      <c r="V27" s="62">
        <v>5.0</v>
      </c>
      <c r="W27" s="64"/>
      <c r="X27" s="64">
        <v>5.0</v>
      </c>
      <c r="Y27" s="64"/>
      <c r="Z27" s="64"/>
      <c r="AA27" s="93">
        <f t="shared" si="3"/>
        <v>57.5</v>
      </c>
      <c r="AB27" s="133">
        <f t="shared" si="4"/>
        <v>82.14285714</v>
      </c>
      <c r="AC27" s="134">
        <f t="shared" si="5"/>
        <v>18</v>
      </c>
      <c r="AD27" s="90"/>
      <c r="AE27" s="90"/>
      <c r="AF27" s="90"/>
      <c r="AG27" s="91"/>
      <c r="AH27" s="91"/>
      <c r="AI27" s="91"/>
      <c r="AJ27" s="91"/>
      <c r="AK27" s="91"/>
      <c r="AL27" s="91"/>
      <c r="AM27" s="91"/>
    </row>
    <row r="28">
      <c r="A28" s="41">
        <v>26.0</v>
      </c>
      <c r="B28" s="92" t="s">
        <v>69</v>
      </c>
      <c r="C28" s="147">
        <v>5.0</v>
      </c>
      <c r="D28" s="144"/>
      <c r="E28" s="144"/>
      <c r="F28" s="144"/>
      <c r="G28" s="144"/>
      <c r="H28" s="143">
        <v>5.0</v>
      </c>
      <c r="I28" s="144"/>
      <c r="J28" s="136"/>
      <c r="K28" s="137"/>
      <c r="L28" s="137"/>
      <c r="M28" s="39"/>
      <c r="N28" s="39">
        <v>5.0</v>
      </c>
      <c r="O28" s="42">
        <v>5.0</v>
      </c>
      <c r="P28" s="40">
        <v>5.0</v>
      </c>
      <c r="Q28" s="39">
        <v>5.0</v>
      </c>
      <c r="R28" s="39"/>
      <c r="S28" s="39"/>
      <c r="T28" s="39"/>
      <c r="U28" s="93"/>
      <c r="V28" s="39"/>
      <c r="W28" s="41">
        <v>5.0</v>
      </c>
      <c r="X28" s="41"/>
      <c r="Y28" s="41"/>
      <c r="Z28" s="41"/>
      <c r="AA28" s="93">
        <f t="shared" si="3"/>
        <v>25</v>
      </c>
      <c r="AB28" s="139">
        <f t="shared" si="4"/>
        <v>35.71428571</v>
      </c>
      <c r="AC28" s="134">
        <f t="shared" si="5"/>
        <v>7</v>
      </c>
      <c r="AD28" s="32"/>
      <c r="AE28" s="32"/>
      <c r="AF28" s="32"/>
    </row>
    <row r="29">
      <c r="A29" s="16">
        <v>27.0</v>
      </c>
      <c r="B29" s="155" t="s">
        <v>70</v>
      </c>
      <c r="C29" s="143">
        <v>5.0</v>
      </c>
      <c r="D29" s="144"/>
      <c r="E29" s="144"/>
      <c r="F29" s="144"/>
      <c r="G29" s="144"/>
      <c r="H29" s="143">
        <v>5.0</v>
      </c>
      <c r="I29" s="144"/>
      <c r="J29" s="147">
        <v>5.0</v>
      </c>
      <c r="K29" s="143">
        <v>5.0</v>
      </c>
      <c r="L29" s="143">
        <v>5.0</v>
      </c>
      <c r="M29" s="39">
        <v>5.0</v>
      </c>
      <c r="N29" s="39">
        <v>5.0</v>
      </c>
      <c r="O29" s="42">
        <v>5.0</v>
      </c>
      <c r="P29" s="40">
        <v>5.0</v>
      </c>
      <c r="Q29" s="39">
        <v>5.0</v>
      </c>
      <c r="R29" s="39"/>
      <c r="S29" s="39">
        <v>5.0</v>
      </c>
      <c r="T29" s="39">
        <v>5.0</v>
      </c>
      <c r="U29" s="42">
        <v>5.0</v>
      </c>
      <c r="V29" s="39">
        <v>5.0</v>
      </c>
      <c r="W29" s="64"/>
      <c r="X29" s="64">
        <v>5.0</v>
      </c>
      <c r="Y29" s="64"/>
      <c r="Z29" s="64"/>
      <c r="AA29" s="93">
        <f t="shared" si="3"/>
        <v>50</v>
      </c>
      <c r="AB29" s="139">
        <f t="shared" si="4"/>
        <v>71.42857143</v>
      </c>
      <c r="AC29" s="134">
        <f t="shared" si="5"/>
        <v>15</v>
      </c>
      <c r="AD29" s="32"/>
      <c r="AE29" s="32"/>
      <c r="AF29" s="32"/>
    </row>
    <row r="30">
      <c r="A30" s="41">
        <v>28.0</v>
      </c>
      <c r="B30" s="68" t="s">
        <v>71</v>
      </c>
      <c r="C30" s="143">
        <v>5.0</v>
      </c>
      <c r="D30" s="143">
        <v>5.0</v>
      </c>
      <c r="E30" s="143">
        <v>5.0</v>
      </c>
      <c r="F30" s="144"/>
      <c r="G30" s="144"/>
      <c r="H30" s="144"/>
      <c r="I30" s="144"/>
      <c r="J30" s="147">
        <v>5.0</v>
      </c>
      <c r="K30" s="137"/>
      <c r="L30" s="137"/>
      <c r="M30" s="39"/>
      <c r="N30" s="39"/>
      <c r="O30" s="42"/>
      <c r="P30" s="40">
        <v>5.0</v>
      </c>
      <c r="Q30" s="39">
        <v>5.0</v>
      </c>
      <c r="R30" s="39"/>
      <c r="S30" s="39"/>
      <c r="T30" s="39">
        <v>5.0</v>
      </c>
      <c r="U30" s="42">
        <v>5.0</v>
      </c>
      <c r="V30" s="39"/>
      <c r="W30" s="41"/>
      <c r="X30" s="41">
        <v>5.0</v>
      </c>
      <c r="Y30" s="41"/>
      <c r="Z30" s="41"/>
      <c r="AA30" s="93">
        <f t="shared" si="3"/>
        <v>25</v>
      </c>
      <c r="AB30" s="139">
        <f t="shared" si="4"/>
        <v>35.71428571</v>
      </c>
      <c r="AC30" s="134">
        <f t="shared" si="5"/>
        <v>9</v>
      </c>
      <c r="AD30" s="32"/>
      <c r="AE30" s="32"/>
      <c r="AF30" s="32"/>
    </row>
    <row r="31">
      <c r="A31" s="41">
        <v>29.0</v>
      </c>
      <c r="B31" s="68" t="s">
        <v>72</v>
      </c>
      <c r="C31" s="143">
        <v>5.0</v>
      </c>
      <c r="D31" s="144"/>
      <c r="E31" s="144"/>
      <c r="F31" s="143">
        <v>10.0</v>
      </c>
      <c r="G31" s="144"/>
      <c r="H31" s="144"/>
      <c r="I31" s="144"/>
      <c r="J31" s="136"/>
      <c r="K31" s="137"/>
      <c r="L31" s="137"/>
      <c r="M31" s="39"/>
      <c r="N31" s="39"/>
      <c r="O31" s="42"/>
      <c r="P31" s="40">
        <v>5.0</v>
      </c>
      <c r="Q31" s="39"/>
      <c r="R31" s="39"/>
      <c r="S31" s="39"/>
      <c r="T31" s="39"/>
      <c r="U31" s="42">
        <v>5.0</v>
      </c>
      <c r="V31" s="39"/>
      <c r="W31" s="39"/>
      <c r="X31" s="39"/>
      <c r="Y31" s="39"/>
      <c r="Z31" s="39"/>
      <c r="AA31" s="93">
        <f t="shared" si="3"/>
        <v>10</v>
      </c>
      <c r="AB31" s="139">
        <f t="shared" si="4"/>
        <v>14.28571429</v>
      </c>
      <c r="AC31" s="134">
        <f t="shared" si="5"/>
        <v>4</v>
      </c>
      <c r="AD31" s="32"/>
      <c r="AE31" s="32"/>
      <c r="AF31" s="32"/>
    </row>
    <row r="32">
      <c r="A32" s="41">
        <v>30.0</v>
      </c>
      <c r="B32" s="68" t="s">
        <v>73</v>
      </c>
      <c r="C32" s="143">
        <v>5.0</v>
      </c>
      <c r="D32" s="144"/>
      <c r="E32" s="144"/>
      <c r="F32" s="144"/>
      <c r="G32" s="144"/>
      <c r="H32" s="144"/>
      <c r="I32" s="144"/>
      <c r="J32" s="136"/>
      <c r="K32" s="143">
        <v>5.0</v>
      </c>
      <c r="L32" s="137"/>
      <c r="M32" s="39"/>
      <c r="N32" s="39">
        <v>5.0</v>
      </c>
      <c r="O32" s="42">
        <v>5.0</v>
      </c>
      <c r="P32" s="40"/>
      <c r="Q32" s="39"/>
      <c r="R32" s="39"/>
      <c r="S32" s="39"/>
      <c r="T32" s="39">
        <v>5.0</v>
      </c>
      <c r="U32" s="93"/>
      <c r="V32" s="39"/>
      <c r="W32" s="39"/>
      <c r="X32" s="39"/>
      <c r="Y32" s="39"/>
      <c r="Z32" s="39">
        <v>5.0</v>
      </c>
      <c r="AA32" s="93">
        <f t="shared" si="3"/>
        <v>20</v>
      </c>
      <c r="AB32" s="139">
        <f t="shared" si="4"/>
        <v>28.57142857</v>
      </c>
      <c r="AC32" s="134">
        <f t="shared" si="5"/>
        <v>6</v>
      </c>
      <c r="AD32" s="32"/>
      <c r="AE32" s="32"/>
      <c r="AF32" s="32"/>
    </row>
    <row r="33">
      <c r="A33" s="41">
        <v>31.0</v>
      </c>
      <c r="B33" s="68" t="s">
        <v>74</v>
      </c>
      <c r="C33" s="143">
        <v>5.0</v>
      </c>
      <c r="D33" s="143">
        <v>5.0</v>
      </c>
      <c r="E33" s="144"/>
      <c r="F33" s="144"/>
      <c r="G33" s="144"/>
      <c r="H33" s="144"/>
      <c r="I33" s="144"/>
      <c r="J33" s="136"/>
      <c r="K33" s="137"/>
      <c r="L33" s="137"/>
      <c r="M33" s="39"/>
      <c r="N33" s="39"/>
      <c r="O33" s="42"/>
      <c r="P33" s="40"/>
      <c r="Q33" s="39"/>
      <c r="R33" s="39"/>
      <c r="S33" s="39"/>
      <c r="T33" s="39"/>
      <c r="U33" s="93"/>
      <c r="V33" s="39"/>
      <c r="W33" s="39"/>
      <c r="X33" s="39"/>
      <c r="Y33" s="39"/>
      <c r="Z33" s="39"/>
      <c r="AA33" s="93">
        <f t="shared" si="3"/>
        <v>0</v>
      </c>
      <c r="AB33" s="139">
        <f t="shared" si="4"/>
        <v>0</v>
      </c>
      <c r="AC33" s="134">
        <f t="shared" si="5"/>
        <v>2</v>
      </c>
      <c r="AD33" s="32"/>
      <c r="AE33" s="32"/>
      <c r="AF33" s="32"/>
    </row>
    <row r="34">
      <c r="A34" s="41">
        <v>32.0</v>
      </c>
      <c r="B34" s="68" t="s">
        <v>75</v>
      </c>
      <c r="C34" s="143">
        <v>5.0</v>
      </c>
      <c r="D34" s="144"/>
      <c r="E34" s="144"/>
      <c r="F34" s="144"/>
      <c r="G34" s="144"/>
      <c r="H34" s="143">
        <v>5.0</v>
      </c>
      <c r="I34" s="144"/>
      <c r="J34" s="147">
        <v>5.0</v>
      </c>
      <c r="K34" s="137"/>
      <c r="L34" s="137"/>
      <c r="M34" s="39"/>
      <c r="N34" s="39"/>
      <c r="O34" s="42"/>
      <c r="P34" s="40">
        <v>5.0</v>
      </c>
      <c r="Q34" s="39"/>
      <c r="R34" s="39"/>
      <c r="S34" s="39"/>
      <c r="T34" s="42">
        <v>5.0</v>
      </c>
      <c r="U34" s="93"/>
      <c r="V34" s="95">
        <v>7.5</v>
      </c>
      <c r="W34" s="39"/>
      <c r="X34" s="39"/>
      <c r="Y34" s="39"/>
      <c r="Z34" s="39"/>
      <c r="AA34" s="93">
        <f t="shared" si="3"/>
        <v>17.5</v>
      </c>
      <c r="AB34" s="139">
        <f t="shared" si="4"/>
        <v>25</v>
      </c>
      <c r="AC34" s="134">
        <f t="shared" si="5"/>
        <v>6</v>
      </c>
      <c r="AD34" s="32"/>
      <c r="AE34" s="32"/>
      <c r="AF34" s="32"/>
    </row>
    <row r="35">
      <c r="A35" s="41">
        <v>33.0</v>
      </c>
      <c r="B35" s="68" t="s">
        <v>76</v>
      </c>
      <c r="C35" s="143">
        <v>5.0</v>
      </c>
      <c r="D35" s="144"/>
      <c r="E35" s="143">
        <v>5.0</v>
      </c>
      <c r="F35" s="144"/>
      <c r="G35" s="143">
        <v>5.0</v>
      </c>
      <c r="H35" s="144"/>
      <c r="I35" s="144"/>
      <c r="J35" s="136"/>
      <c r="K35" s="137"/>
      <c r="L35" s="137"/>
      <c r="M35" s="39"/>
      <c r="N35" s="39"/>
      <c r="O35" s="42"/>
      <c r="P35" s="40"/>
      <c r="Q35" s="39"/>
      <c r="R35" s="39"/>
      <c r="S35" s="39"/>
      <c r="T35" s="39"/>
      <c r="U35" s="39"/>
      <c r="V35" s="39"/>
      <c r="W35" s="39"/>
      <c r="X35" s="39"/>
      <c r="Y35" s="39"/>
      <c r="Z35" s="39">
        <v>5.0</v>
      </c>
      <c r="AA35" s="93">
        <f t="shared" si="3"/>
        <v>5</v>
      </c>
      <c r="AB35" s="139">
        <f t="shared" si="4"/>
        <v>7.142857143</v>
      </c>
      <c r="AC35" s="134">
        <f t="shared" si="5"/>
        <v>4</v>
      </c>
      <c r="AD35" s="32"/>
      <c r="AE35" s="32"/>
      <c r="AF35" s="32"/>
    </row>
    <row r="36">
      <c r="A36" s="41">
        <v>34.0</v>
      </c>
      <c r="B36" s="68" t="s">
        <v>77</v>
      </c>
      <c r="C36" s="143">
        <v>5.0</v>
      </c>
      <c r="D36" s="143">
        <v>5.0</v>
      </c>
      <c r="E36" s="144"/>
      <c r="F36" s="144"/>
      <c r="G36" s="144"/>
      <c r="H36" s="144"/>
      <c r="I36" s="144"/>
      <c r="J36" s="147">
        <v>5.0</v>
      </c>
      <c r="K36" s="137"/>
      <c r="L36" s="137"/>
      <c r="M36" s="39"/>
      <c r="N36" s="39"/>
      <c r="O36" s="42"/>
      <c r="P36" s="40">
        <v>5.0</v>
      </c>
      <c r="Q36" s="39"/>
      <c r="R36" s="39"/>
      <c r="S36" s="39"/>
      <c r="T36" s="39">
        <v>5.0</v>
      </c>
      <c r="U36" s="39">
        <v>5.0</v>
      </c>
      <c r="V36" s="39"/>
      <c r="W36" s="39"/>
      <c r="X36" s="39"/>
      <c r="Y36" s="39"/>
      <c r="Z36" s="39"/>
      <c r="AA36" s="93">
        <f t="shared" si="3"/>
        <v>15</v>
      </c>
      <c r="AB36" s="139">
        <f t="shared" si="4"/>
        <v>21.42857143</v>
      </c>
      <c r="AC36" s="134">
        <f t="shared" si="5"/>
        <v>6</v>
      </c>
      <c r="AD36" s="32"/>
      <c r="AE36" s="32"/>
      <c r="AF36" s="32"/>
    </row>
    <row r="37">
      <c r="A37" s="41">
        <v>35.0</v>
      </c>
      <c r="B37" s="68" t="s">
        <v>78</v>
      </c>
      <c r="C37" s="143">
        <v>5.0</v>
      </c>
      <c r="D37" s="144"/>
      <c r="E37" s="144"/>
      <c r="F37" s="144"/>
      <c r="G37" s="143">
        <v>5.0</v>
      </c>
      <c r="H37" s="144"/>
      <c r="I37" s="144"/>
      <c r="J37" s="136"/>
      <c r="K37" s="143">
        <v>5.0</v>
      </c>
      <c r="L37" s="137"/>
      <c r="M37" s="39"/>
      <c r="N37" s="39"/>
      <c r="O37" s="42"/>
      <c r="P37" s="40">
        <v>5.0</v>
      </c>
      <c r="Q37" s="39"/>
      <c r="R37" s="39"/>
      <c r="S37" s="39"/>
      <c r="T37" s="39"/>
      <c r="U37" s="39">
        <v>5.0</v>
      </c>
      <c r="V37" s="39"/>
      <c r="W37" s="39"/>
      <c r="X37" s="39">
        <v>5.0</v>
      </c>
      <c r="Y37" s="39"/>
      <c r="Z37" s="39"/>
      <c r="AA37" s="93">
        <f t="shared" si="3"/>
        <v>15</v>
      </c>
      <c r="AB37" s="139">
        <f t="shared" si="4"/>
        <v>21.42857143</v>
      </c>
      <c r="AC37" s="134">
        <f t="shared" si="5"/>
        <v>6</v>
      </c>
      <c r="AD37" s="32"/>
      <c r="AE37" s="32"/>
      <c r="AF37" s="32"/>
    </row>
    <row r="38">
      <c r="A38" s="41">
        <v>36.0</v>
      </c>
      <c r="B38" s="96" t="s">
        <v>79</v>
      </c>
      <c r="C38" s="156">
        <v>5.0</v>
      </c>
      <c r="D38" s="156">
        <v>5.0</v>
      </c>
      <c r="E38" s="156">
        <v>5.0</v>
      </c>
      <c r="F38" s="156">
        <v>10.0</v>
      </c>
      <c r="G38" s="157"/>
      <c r="H38" s="156">
        <v>5.0</v>
      </c>
      <c r="I38" s="157"/>
      <c r="J38" s="147">
        <v>5.0</v>
      </c>
      <c r="K38" s="143">
        <v>5.0</v>
      </c>
      <c r="L38" s="143">
        <v>5.0</v>
      </c>
      <c r="M38" s="39">
        <v>5.0</v>
      </c>
      <c r="N38" s="39">
        <v>5.0</v>
      </c>
      <c r="O38" s="42">
        <v>5.0</v>
      </c>
      <c r="P38" s="40">
        <v>5.0</v>
      </c>
      <c r="Q38" s="39">
        <v>5.0</v>
      </c>
      <c r="R38" s="39">
        <v>10.0</v>
      </c>
      <c r="S38" s="39"/>
      <c r="T38" s="39">
        <v>5.0</v>
      </c>
      <c r="U38" s="39">
        <v>5.0</v>
      </c>
      <c r="V38" s="39">
        <v>5.0</v>
      </c>
      <c r="W38" s="39">
        <v>5.0</v>
      </c>
      <c r="X38" s="39">
        <v>5.0</v>
      </c>
      <c r="Y38" s="39"/>
      <c r="Z38" s="39">
        <v>5.0</v>
      </c>
      <c r="AA38" s="93">
        <f t="shared" si="3"/>
        <v>65</v>
      </c>
      <c r="AB38" s="139">
        <f t="shared" si="4"/>
        <v>92.85714286</v>
      </c>
      <c r="AC38" s="134">
        <f t="shared" si="5"/>
        <v>20</v>
      </c>
      <c r="AD38" s="32"/>
      <c r="AE38" s="32"/>
      <c r="AF38" s="32"/>
    </row>
    <row r="39">
      <c r="A39" s="41">
        <v>37.0</v>
      </c>
      <c r="B39" s="68" t="s">
        <v>80</v>
      </c>
      <c r="C39" s="144"/>
      <c r="D39" s="143">
        <v>5.0</v>
      </c>
      <c r="E39" s="144"/>
      <c r="F39" s="144"/>
      <c r="G39" s="144"/>
      <c r="H39" s="144"/>
      <c r="I39" s="144"/>
      <c r="J39" s="136"/>
      <c r="K39" s="137"/>
      <c r="L39" s="137"/>
      <c r="M39" s="39"/>
      <c r="N39" s="39"/>
      <c r="O39" s="42"/>
      <c r="P39" s="40">
        <v>5.0</v>
      </c>
      <c r="Q39" s="39"/>
      <c r="R39" s="39"/>
      <c r="S39" s="39"/>
      <c r="T39" s="39">
        <v>5.0</v>
      </c>
      <c r="U39" s="39">
        <v>5.0</v>
      </c>
      <c r="V39" s="39">
        <v>5.0</v>
      </c>
      <c r="W39" s="39"/>
      <c r="X39" s="39"/>
      <c r="Y39" s="39"/>
      <c r="Z39" s="39"/>
      <c r="AA39" s="93">
        <f t="shared" si="3"/>
        <v>20</v>
      </c>
      <c r="AB39" s="139">
        <f t="shared" si="4"/>
        <v>28.57142857</v>
      </c>
      <c r="AC39" s="134">
        <f t="shared" si="5"/>
        <v>5</v>
      </c>
      <c r="AD39" s="32"/>
      <c r="AE39" s="32"/>
      <c r="AF39" s="32"/>
    </row>
    <row r="40">
      <c r="A40" s="41">
        <v>38.0</v>
      </c>
      <c r="B40" s="68" t="s">
        <v>81</v>
      </c>
      <c r="C40" s="144"/>
      <c r="D40" s="143">
        <v>5.0</v>
      </c>
      <c r="E40" s="144"/>
      <c r="F40" s="144"/>
      <c r="G40" s="144"/>
      <c r="H40" s="144"/>
      <c r="I40" s="144"/>
      <c r="J40" s="147">
        <v>5.0</v>
      </c>
      <c r="K40" s="137"/>
      <c r="L40" s="143">
        <v>5.0</v>
      </c>
      <c r="M40" s="39"/>
      <c r="N40" s="39"/>
      <c r="O40" s="42"/>
      <c r="P40" s="40">
        <v>5.0</v>
      </c>
      <c r="Q40" s="39"/>
      <c r="R40" s="39"/>
      <c r="S40" s="39"/>
      <c r="T40" s="39"/>
      <c r="U40" s="39">
        <v>5.0</v>
      </c>
      <c r="V40" s="39"/>
      <c r="W40" s="39"/>
      <c r="X40" s="39"/>
      <c r="Y40" s="39"/>
      <c r="Z40" s="39"/>
      <c r="AA40" s="93">
        <f t="shared" si="3"/>
        <v>10</v>
      </c>
      <c r="AB40" s="139">
        <f t="shared" si="4"/>
        <v>14.28571429</v>
      </c>
      <c r="AC40" s="134">
        <f t="shared" si="5"/>
        <v>5</v>
      </c>
      <c r="AD40" s="32"/>
      <c r="AE40" s="32"/>
      <c r="AF40" s="32"/>
    </row>
    <row r="41">
      <c r="A41" s="41">
        <v>39.0</v>
      </c>
      <c r="B41" s="68" t="s">
        <v>82</v>
      </c>
      <c r="C41" s="144"/>
      <c r="D41" s="143">
        <v>5.0</v>
      </c>
      <c r="E41" s="144"/>
      <c r="F41" s="144"/>
      <c r="G41" s="144"/>
      <c r="H41" s="144"/>
      <c r="I41" s="144"/>
      <c r="J41" s="136"/>
      <c r="K41" s="137"/>
      <c r="L41" s="137"/>
      <c r="M41" s="39"/>
      <c r="N41" s="39"/>
      <c r="O41" s="42"/>
      <c r="P41" s="40">
        <v>5.0</v>
      </c>
      <c r="Q41" s="39"/>
      <c r="R41" s="39"/>
      <c r="S41" s="39"/>
      <c r="T41" s="39">
        <v>5.0</v>
      </c>
      <c r="U41" s="39">
        <v>5.0</v>
      </c>
      <c r="V41" s="39"/>
      <c r="W41" s="39"/>
      <c r="X41" s="39"/>
      <c r="Y41" s="39"/>
      <c r="Z41" s="39"/>
      <c r="AA41" s="93">
        <f t="shared" si="3"/>
        <v>15</v>
      </c>
      <c r="AB41" s="139">
        <f t="shared" si="4"/>
        <v>21.42857143</v>
      </c>
      <c r="AC41" s="134">
        <f t="shared" si="5"/>
        <v>4</v>
      </c>
      <c r="AD41" s="32"/>
      <c r="AE41" s="32"/>
      <c r="AF41" s="32"/>
    </row>
    <row r="42">
      <c r="A42" s="41">
        <v>40.0</v>
      </c>
      <c r="B42" s="68" t="s">
        <v>83</v>
      </c>
      <c r="C42" s="144"/>
      <c r="D42" s="143">
        <v>5.0</v>
      </c>
      <c r="E42" s="144"/>
      <c r="F42" s="144"/>
      <c r="G42" s="144"/>
      <c r="H42" s="144"/>
      <c r="I42" s="144"/>
      <c r="J42" s="136"/>
      <c r="K42" s="137"/>
      <c r="L42" s="137"/>
      <c r="M42" s="39"/>
      <c r="N42" s="39"/>
      <c r="O42" s="42"/>
      <c r="P42" s="40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93">
        <f t="shared" si="3"/>
        <v>0</v>
      </c>
      <c r="AB42" s="139">
        <f t="shared" si="4"/>
        <v>0</v>
      </c>
      <c r="AC42" s="134">
        <f t="shared" si="5"/>
        <v>1</v>
      </c>
      <c r="AD42" s="32"/>
      <c r="AE42" s="32"/>
      <c r="AF42" s="32"/>
    </row>
    <row r="43">
      <c r="A43" s="41">
        <v>41.0</v>
      </c>
      <c r="B43" s="68" t="s">
        <v>84</v>
      </c>
      <c r="C43" s="144"/>
      <c r="D43" s="143">
        <v>5.0</v>
      </c>
      <c r="E43" s="144"/>
      <c r="F43" s="143">
        <v>10.0</v>
      </c>
      <c r="G43" s="144"/>
      <c r="H43" s="144"/>
      <c r="I43" s="144"/>
      <c r="J43" s="136"/>
      <c r="K43" s="137"/>
      <c r="L43" s="137"/>
      <c r="M43" s="39"/>
      <c r="N43" s="39">
        <v>5.0</v>
      </c>
      <c r="O43" s="42">
        <v>5.0</v>
      </c>
      <c r="P43" s="40"/>
      <c r="Q43" s="39"/>
      <c r="R43" s="39"/>
      <c r="S43" s="39"/>
      <c r="T43" s="39"/>
      <c r="U43" s="39"/>
      <c r="V43" s="39"/>
      <c r="W43" s="39"/>
      <c r="X43" s="39"/>
      <c r="Y43" s="39">
        <v>10.0</v>
      </c>
      <c r="Z43" s="39">
        <v>5.0</v>
      </c>
      <c r="AA43" s="93">
        <f t="shared" si="3"/>
        <v>25</v>
      </c>
      <c r="AB43" s="139">
        <f t="shared" si="4"/>
        <v>35.71428571</v>
      </c>
      <c r="AC43" s="134">
        <f t="shared" si="5"/>
        <v>6</v>
      </c>
      <c r="AD43" s="32"/>
      <c r="AE43" s="32"/>
      <c r="AF43" s="32"/>
    </row>
    <row r="44">
      <c r="A44" s="41">
        <v>42.0</v>
      </c>
      <c r="B44" s="68" t="s">
        <v>85</v>
      </c>
      <c r="C44" s="144"/>
      <c r="D44" s="143">
        <v>5.0</v>
      </c>
      <c r="E44" s="144"/>
      <c r="F44" s="144"/>
      <c r="G44" s="144"/>
      <c r="H44" s="144"/>
      <c r="I44" s="144"/>
      <c r="J44" s="136"/>
      <c r="K44" s="137"/>
      <c r="L44" s="137"/>
      <c r="M44" s="39"/>
      <c r="N44" s="39"/>
      <c r="O44" s="42"/>
      <c r="P44" s="40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93">
        <f t="shared" si="3"/>
        <v>0</v>
      </c>
      <c r="AB44" s="139">
        <f t="shared" si="4"/>
        <v>0</v>
      </c>
      <c r="AC44" s="134">
        <f t="shared" si="5"/>
        <v>1</v>
      </c>
      <c r="AD44" s="32"/>
      <c r="AE44" s="32"/>
      <c r="AF44" s="32"/>
    </row>
    <row r="45">
      <c r="A45" s="41">
        <v>43.0</v>
      </c>
      <c r="B45" s="68" t="s">
        <v>86</v>
      </c>
      <c r="C45" s="144"/>
      <c r="D45" s="143">
        <v>5.0</v>
      </c>
      <c r="E45" s="144"/>
      <c r="F45" s="144"/>
      <c r="G45" s="144"/>
      <c r="H45" s="144"/>
      <c r="I45" s="144"/>
      <c r="J45" s="147">
        <v>5.0</v>
      </c>
      <c r="K45" s="137"/>
      <c r="L45" s="143">
        <v>5.0</v>
      </c>
      <c r="M45" s="39"/>
      <c r="N45" s="39"/>
      <c r="O45" s="42"/>
      <c r="P45" s="40">
        <v>5.0</v>
      </c>
      <c r="Q45" s="39"/>
      <c r="R45" s="39"/>
      <c r="S45" s="39"/>
      <c r="T45" s="39">
        <v>5.0</v>
      </c>
      <c r="U45" s="39">
        <v>5.0</v>
      </c>
      <c r="V45" s="39"/>
      <c r="W45" s="39"/>
      <c r="X45" s="39"/>
      <c r="Y45" s="39"/>
      <c r="Z45" s="39"/>
      <c r="AA45" s="93">
        <f t="shared" si="3"/>
        <v>15</v>
      </c>
      <c r="AB45" s="139">
        <f t="shared" si="4"/>
        <v>21.42857143</v>
      </c>
      <c r="AC45" s="134">
        <f t="shared" si="5"/>
        <v>6</v>
      </c>
      <c r="AD45" s="32"/>
      <c r="AE45" s="32"/>
      <c r="AF45" s="32"/>
    </row>
    <row r="46">
      <c r="A46" s="41">
        <v>44.0</v>
      </c>
      <c r="B46" s="68" t="s">
        <v>87</v>
      </c>
      <c r="C46" s="144"/>
      <c r="D46" s="143">
        <v>5.0</v>
      </c>
      <c r="E46" s="144"/>
      <c r="F46" s="144"/>
      <c r="G46" s="144"/>
      <c r="H46" s="144"/>
      <c r="I46" s="144"/>
      <c r="J46" s="136"/>
      <c r="K46" s="137"/>
      <c r="L46" s="137"/>
      <c r="M46" s="39"/>
      <c r="N46" s="39"/>
      <c r="O46" s="42"/>
      <c r="P46" s="40"/>
      <c r="Q46" s="39"/>
      <c r="R46" s="39"/>
      <c r="S46" s="39"/>
      <c r="T46" s="39"/>
      <c r="U46" s="39">
        <v>5.0</v>
      </c>
      <c r="V46" s="39"/>
      <c r="W46" s="39"/>
      <c r="X46" s="39"/>
      <c r="Y46" s="39"/>
      <c r="Z46" s="39"/>
      <c r="AA46" s="93">
        <f t="shared" si="3"/>
        <v>5</v>
      </c>
      <c r="AB46" s="139">
        <f t="shared" si="4"/>
        <v>7.142857143</v>
      </c>
      <c r="AC46" s="134">
        <f t="shared" si="5"/>
        <v>2</v>
      </c>
      <c r="AD46" s="32"/>
      <c r="AE46" s="32"/>
      <c r="AF46" s="32"/>
    </row>
    <row r="47">
      <c r="A47" s="41">
        <v>45.0</v>
      </c>
      <c r="B47" s="68" t="s">
        <v>88</v>
      </c>
      <c r="C47" s="144"/>
      <c r="D47" s="143">
        <v>5.0</v>
      </c>
      <c r="E47" s="144"/>
      <c r="F47" s="144"/>
      <c r="G47" s="144"/>
      <c r="H47" s="144"/>
      <c r="I47" s="144"/>
      <c r="J47" s="136"/>
      <c r="K47" s="137"/>
      <c r="L47" s="137"/>
      <c r="M47" s="39"/>
      <c r="N47" s="39"/>
      <c r="O47" s="42"/>
      <c r="P47" s="40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93">
        <f t="shared" si="3"/>
        <v>0</v>
      </c>
      <c r="AB47" s="139">
        <f t="shared" si="4"/>
        <v>0</v>
      </c>
      <c r="AC47" s="134">
        <f t="shared" si="5"/>
        <v>1</v>
      </c>
      <c r="AD47" s="32"/>
      <c r="AE47" s="32"/>
      <c r="AF47" s="32"/>
    </row>
    <row r="48">
      <c r="A48" s="41">
        <v>46.0</v>
      </c>
      <c r="B48" s="68" t="s">
        <v>89</v>
      </c>
      <c r="C48" s="144"/>
      <c r="D48" s="143">
        <v>5.0</v>
      </c>
      <c r="E48" s="143"/>
      <c r="F48" s="144"/>
      <c r="G48" s="144"/>
      <c r="H48" s="144"/>
      <c r="I48" s="144"/>
      <c r="J48" s="136"/>
      <c r="K48" s="137"/>
      <c r="L48" s="137"/>
      <c r="M48" s="39"/>
      <c r="N48" s="39"/>
      <c r="O48" s="42"/>
      <c r="P48" s="40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93">
        <f t="shared" si="3"/>
        <v>0</v>
      </c>
      <c r="AB48" s="139">
        <f t="shared" si="4"/>
        <v>0</v>
      </c>
      <c r="AC48" s="134">
        <f t="shared" si="5"/>
        <v>1</v>
      </c>
      <c r="AD48" s="32"/>
      <c r="AE48" s="32"/>
      <c r="AF48" s="32"/>
    </row>
    <row r="49">
      <c r="A49" s="41">
        <v>47.0</v>
      </c>
      <c r="B49" s="68" t="s">
        <v>90</v>
      </c>
      <c r="C49" s="144"/>
      <c r="D49" s="144"/>
      <c r="E49" s="143">
        <v>5.0</v>
      </c>
      <c r="F49" s="144"/>
      <c r="G49" s="144"/>
      <c r="H49" s="144"/>
      <c r="I49" s="144"/>
      <c r="J49" s="136"/>
      <c r="K49" s="137"/>
      <c r="L49" s="137"/>
      <c r="M49" s="39"/>
      <c r="N49" s="39"/>
      <c r="O49" s="42"/>
      <c r="P49" s="40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93">
        <f t="shared" si="3"/>
        <v>0</v>
      </c>
      <c r="AB49" s="139">
        <f t="shared" si="4"/>
        <v>0</v>
      </c>
      <c r="AC49" s="134">
        <f t="shared" si="5"/>
        <v>1</v>
      </c>
      <c r="AD49" s="32"/>
      <c r="AE49" s="32"/>
      <c r="AF49" s="32"/>
    </row>
    <row r="50">
      <c r="A50" s="41">
        <v>48.0</v>
      </c>
      <c r="B50" s="68" t="s">
        <v>91</v>
      </c>
      <c r="C50" s="144"/>
      <c r="D50" s="144"/>
      <c r="E50" s="143">
        <v>5.0</v>
      </c>
      <c r="F50" s="143">
        <v>10.0</v>
      </c>
      <c r="G50" s="144"/>
      <c r="H50" s="143">
        <v>5.0</v>
      </c>
      <c r="I50" s="144"/>
      <c r="J50" s="136"/>
      <c r="K50" s="143">
        <v>5.0</v>
      </c>
      <c r="L50" s="143">
        <v>5.0</v>
      </c>
      <c r="M50" s="39"/>
      <c r="N50" s="39"/>
      <c r="O50" s="42">
        <v>5.0</v>
      </c>
      <c r="P50" s="40">
        <v>5.0</v>
      </c>
      <c r="Q50" s="39"/>
      <c r="R50" s="39"/>
      <c r="S50" s="39">
        <v>5.0</v>
      </c>
      <c r="T50" s="39"/>
      <c r="U50" s="39"/>
      <c r="V50" s="39"/>
      <c r="W50" s="39">
        <v>5.0</v>
      </c>
      <c r="X50" s="39"/>
      <c r="Y50" s="39"/>
      <c r="Z50" s="39"/>
      <c r="AA50" s="93">
        <f t="shared" si="3"/>
        <v>20</v>
      </c>
      <c r="AB50" s="139">
        <f t="shared" si="4"/>
        <v>28.57142857</v>
      </c>
      <c r="AC50" s="134">
        <f t="shared" si="5"/>
        <v>9</v>
      </c>
      <c r="AD50" s="32"/>
      <c r="AE50" s="32"/>
      <c r="AF50" s="32"/>
    </row>
    <row r="51">
      <c r="A51" s="41">
        <v>49.0</v>
      </c>
      <c r="B51" s="68" t="s">
        <v>92</v>
      </c>
      <c r="C51" s="144"/>
      <c r="D51" s="144"/>
      <c r="E51" s="143">
        <v>5.0</v>
      </c>
      <c r="F51" s="144"/>
      <c r="G51" s="144"/>
      <c r="H51" s="144"/>
      <c r="I51" s="144"/>
      <c r="J51" s="136"/>
      <c r="K51" s="137"/>
      <c r="L51" s="143">
        <v>5.0</v>
      </c>
      <c r="M51" s="39"/>
      <c r="N51" s="39"/>
      <c r="O51" s="42"/>
      <c r="P51" s="99">
        <v>5.0</v>
      </c>
      <c r="Q51" s="42"/>
      <c r="R51" s="42"/>
      <c r="S51" s="42"/>
      <c r="T51" s="39"/>
      <c r="U51" s="39"/>
      <c r="V51" s="39"/>
      <c r="W51" s="39"/>
      <c r="X51" s="39"/>
      <c r="Y51" s="39"/>
      <c r="Z51" s="39"/>
      <c r="AA51" s="93">
        <f t="shared" si="3"/>
        <v>5</v>
      </c>
      <c r="AB51" s="139">
        <f t="shared" si="4"/>
        <v>7.142857143</v>
      </c>
      <c r="AC51" s="134">
        <f t="shared" si="5"/>
        <v>3</v>
      </c>
      <c r="AD51" s="32"/>
      <c r="AE51" s="32"/>
      <c r="AF51" s="32"/>
    </row>
    <row r="52">
      <c r="A52" s="41">
        <v>50.0</v>
      </c>
      <c r="B52" s="68" t="s">
        <v>93</v>
      </c>
      <c r="C52" s="144"/>
      <c r="D52" s="144"/>
      <c r="E52" s="144"/>
      <c r="F52" s="144"/>
      <c r="G52" s="144"/>
      <c r="H52" s="143">
        <v>5.0</v>
      </c>
      <c r="I52" s="143">
        <v>5.0</v>
      </c>
      <c r="J52" s="147">
        <v>5.0</v>
      </c>
      <c r="K52" s="137"/>
      <c r="L52" s="137"/>
      <c r="M52" s="39"/>
      <c r="N52" s="39"/>
      <c r="O52" s="42"/>
      <c r="P52" s="99">
        <v>5.0</v>
      </c>
      <c r="Q52" s="42"/>
      <c r="R52" s="42"/>
      <c r="S52" s="42"/>
      <c r="T52" s="39"/>
      <c r="U52" s="39"/>
      <c r="V52" s="39"/>
      <c r="W52" s="39"/>
      <c r="X52" s="39"/>
      <c r="Y52" s="39"/>
      <c r="Z52" s="39"/>
      <c r="AA52" s="93">
        <f t="shared" si="3"/>
        <v>5</v>
      </c>
      <c r="AB52" s="139">
        <f t="shared" si="4"/>
        <v>7.142857143</v>
      </c>
      <c r="AC52" s="134">
        <f t="shared" si="5"/>
        <v>4</v>
      </c>
      <c r="AD52" s="32"/>
      <c r="AE52" s="32"/>
      <c r="AF52" s="32"/>
    </row>
    <row r="53">
      <c r="A53" s="41">
        <v>51.0</v>
      </c>
      <c r="B53" s="68" t="s">
        <v>94</v>
      </c>
      <c r="C53" s="144"/>
      <c r="D53" s="144"/>
      <c r="E53" s="144"/>
      <c r="F53" s="144"/>
      <c r="G53" s="143">
        <v>5.0</v>
      </c>
      <c r="H53" s="144"/>
      <c r="I53" s="144"/>
      <c r="J53" s="136"/>
      <c r="K53" s="143">
        <v>5.0</v>
      </c>
      <c r="L53" s="137"/>
      <c r="M53" s="39"/>
      <c r="N53" s="39"/>
      <c r="O53" s="42"/>
      <c r="P53" s="99"/>
      <c r="Q53" s="42"/>
      <c r="R53" s="42"/>
      <c r="S53" s="42"/>
      <c r="T53" s="39"/>
      <c r="U53" s="39"/>
      <c r="V53" s="39"/>
      <c r="W53" s="39"/>
      <c r="X53" s="39"/>
      <c r="Y53" s="39"/>
      <c r="Z53" s="39"/>
      <c r="AA53" s="93">
        <f t="shared" si="3"/>
        <v>0</v>
      </c>
      <c r="AB53" s="139">
        <f t="shared" si="4"/>
        <v>0</v>
      </c>
      <c r="AC53" s="134">
        <f t="shared" si="5"/>
        <v>2</v>
      </c>
      <c r="AD53" s="32"/>
      <c r="AE53" s="32"/>
      <c r="AF53" s="32"/>
    </row>
    <row r="54">
      <c r="A54" s="41">
        <v>52.0</v>
      </c>
      <c r="B54" s="68" t="s">
        <v>95</v>
      </c>
      <c r="C54" s="144"/>
      <c r="D54" s="144"/>
      <c r="E54" s="144"/>
      <c r="F54" s="144"/>
      <c r="G54" s="143">
        <v>5.0</v>
      </c>
      <c r="H54" s="144"/>
      <c r="I54" s="144"/>
      <c r="J54" s="136"/>
      <c r="K54" s="137"/>
      <c r="L54" s="137"/>
      <c r="M54" s="39"/>
      <c r="N54" s="39"/>
      <c r="O54" s="42"/>
      <c r="P54" s="99"/>
      <c r="Q54" s="42"/>
      <c r="R54" s="42"/>
      <c r="S54" s="42"/>
      <c r="T54" s="39"/>
      <c r="U54" s="39"/>
      <c r="V54" s="39"/>
      <c r="W54" s="39"/>
      <c r="X54" s="39"/>
      <c r="Y54" s="39"/>
      <c r="Z54" s="39"/>
      <c r="AA54" s="93">
        <f t="shared" si="3"/>
        <v>0</v>
      </c>
      <c r="AB54" s="139">
        <f t="shared" si="4"/>
        <v>0</v>
      </c>
      <c r="AC54" s="134">
        <f t="shared" si="5"/>
        <v>1</v>
      </c>
      <c r="AD54" s="32"/>
      <c r="AE54" s="32"/>
      <c r="AF54" s="32"/>
    </row>
    <row r="55">
      <c r="A55" s="41">
        <v>53.0</v>
      </c>
      <c r="B55" s="68" t="s">
        <v>96</v>
      </c>
      <c r="C55" s="144"/>
      <c r="D55" s="144"/>
      <c r="E55" s="144"/>
      <c r="F55" s="144"/>
      <c r="G55" s="143">
        <v>5.0</v>
      </c>
      <c r="H55" s="144"/>
      <c r="I55" s="144"/>
      <c r="J55" s="136"/>
      <c r="K55" s="137"/>
      <c r="L55" s="137"/>
      <c r="M55" s="39"/>
      <c r="N55" s="39"/>
      <c r="O55" s="42"/>
      <c r="P55" s="99"/>
      <c r="Q55" s="42"/>
      <c r="R55" s="42"/>
      <c r="S55" s="42"/>
      <c r="T55" s="39"/>
      <c r="U55" s="39"/>
      <c r="V55" s="39"/>
      <c r="W55" s="39"/>
      <c r="X55" s="39"/>
      <c r="Y55" s="39"/>
      <c r="Z55" s="39"/>
      <c r="AA55" s="93">
        <f t="shared" si="3"/>
        <v>0</v>
      </c>
      <c r="AB55" s="139">
        <f t="shared" si="4"/>
        <v>0</v>
      </c>
      <c r="AC55" s="134">
        <f t="shared" si="5"/>
        <v>1</v>
      </c>
      <c r="AD55" s="32"/>
      <c r="AE55" s="32"/>
      <c r="AF55" s="32"/>
    </row>
    <row r="56">
      <c r="A56" s="41">
        <v>54.0</v>
      </c>
      <c r="B56" s="68" t="s">
        <v>97</v>
      </c>
      <c r="C56" s="144"/>
      <c r="D56" s="144"/>
      <c r="E56" s="144"/>
      <c r="F56" s="144"/>
      <c r="G56" s="143">
        <v>5.0</v>
      </c>
      <c r="H56" s="144"/>
      <c r="I56" s="144"/>
      <c r="J56" s="136"/>
      <c r="K56" s="137"/>
      <c r="L56" s="137"/>
      <c r="M56" s="39"/>
      <c r="N56" s="39"/>
      <c r="O56" s="42"/>
      <c r="P56" s="99"/>
      <c r="Q56" s="42"/>
      <c r="R56" s="42"/>
      <c r="S56" s="42"/>
      <c r="T56" s="39"/>
      <c r="U56" s="39"/>
      <c r="V56" s="39"/>
      <c r="W56" s="39"/>
      <c r="X56" s="39"/>
      <c r="Y56" s="39"/>
      <c r="Z56" s="39"/>
      <c r="AA56" s="93">
        <f t="shared" si="3"/>
        <v>0</v>
      </c>
      <c r="AB56" s="139">
        <f t="shared" si="4"/>
        <v>0</v>
      </c>
      <c r="AC56" s="134">
        <f t="shared" si="5"/>
        <v>1</v>
      </c>
      <c r="AD56" s="32"/>
      <c r="AE56" s="32"/>
      <c r="AF56" s="32"/>
    </row>
    <row r="57">
      <c r="A57" s="41">
        <v>55.0</v>
      </c>
      <c r="B57" s="68" t="s">
        <v>98</v>
      </c>
      <c r="C57" s="144"/>
      <c r="D57" s="144"/>
      <c r="E57" s="144"/>
      <c r="F57" s="144"/>
      <c r="G57" s="143">
        <v>5.0</v>
      </c>
      <c r="H57" s="144"/>
      <c r="I57" s="143">
        <v>5.0</v>
      </c>
      <c r="J57" s="136"/>
      <c r="K57" s="137"/>
      <c r="L57" s="137"/>
      <c r="M57" s="39"/>
      <c r="N57" s="39"/>
      <c r="O57" s="42"/>
      <c r="P57" s="99"/>
      <c r="Q57" s="42"/>
      <c r="R57" s="42"/>
      <c r="S57" s="42"/>
      <c r="T57" s="39"/>
      <c r="U57" s="39"/>
      <c r="V57" s="39"/>
      <c r="W57" s="39"/>
      <c r="X57" s="39"/>
      <c r="Y57" s="39"/>
      <c r="Z57" s="39"/>
      <c r="AA57" s="93">
        <f t="shared" si="3"/>
        <v>0</v>
      </c>
      <c r="AB57" s="139">
        <f t="shared" si="4"/>
        <v>0</v>
      </c>
      <c r="AC57" s="134">
        <f t="shared" si="5"/>
        <v>2</v>
      </c>
      <c r="AD57" s="32"/>
      <c r="AE57" s="32"/>
      <c r="AF57" s="32"/>
    </row>
    <row r="58">
      <c r="A58" s="41">
        <v>56.0</v>
      </c>
      <c r="B58" s="68" t="s">
        <v>99</v>
      </c>
      <c r="C58" s="144"/>
      <c r="D58" s="144"/>
      <c r="E58" s="144"/>
      <c r="F58" s="144"/>
      <c r="G58" s="143">
        <v>5.0</v>
      </c>
      <c r="H58" s="144"/>
      <c r="I58" s="144"/>
      <c r="J58" s="136"/>
      <c r="K58" s="137"/>
      <c r="L58" s="137"/>
      <c r="M58" s="39"/>
      <c r="N58" s="39"/>
      <c r="O58" s="42"/>
      <c r="P58" s="99"/>
      <c r="Q58" s="42"/>
      <c r="R58" s="42"/>
      <c r="S58" s="42"/>
      <c r="T58" s="39"/>
      <c r="U58" s="39"/>
      <c r="V58" s="39"/>
      <c r="W58" s="39"/>
      <c r="X58" s="39"/>
      <c r="Y58" s="39"/>
      <c r="Z58" s="39"/>
      <c r="AA58" s="93">
        <f t="shared" si="3"/>
        <v>0</v>
      </c>
      <c r="AB58" s="139">
        <f t="shared" si="4"/>
        <v>0</v>
      </c>
      <c r="AC58" s="134">
        <f t="shared" si="5"/>
        <v>1</v>
      </c>
      <c r="AD58" s="32"/>
      <c r="AE58" s="32"/>
      <c r="AF58" s="32"/>
    </row>
    <row r="59">
      <c r="A59" s="41">
        <v>57.0</v>
      </c>
      <c r="B59" s="68" t="s">
        <v>100</v>
      </c>
      <c r="C59" s="144"/>
      <c r="D59" s="144"/>
      <c r="E59" s="144"/>
      <c r="F59" s="144"/>
      <c r="G59" s="143">
        <v>5.0</v>
      </c>
      <c r="H59" s="144"/>
      <c r="I59" s="144"/>
      <c r="J59" s="136"/>
      <c r="K59" s="137"/>
      <c r="L59" s="137"/>
      <c r="M59" s="39"/>
      <c r="N59" s="39"/>
      <c r="O59" s="42"/>
      <c r="P59" s="99"/>
      <c r="Q59" s="42"/>
      <c r="R59" s="42"/>
      <c r="S59" s="42"/>
      <c r="T59" s="39"/>
      <c r="U59" s="39"/>
      <c r="V59" s="39"/>
      <c r="W59" s="39"/>
      <c r="X59" s="39"/>
      <c r="Y59" s="39"/>
      <c r="Z59" s="39"/>
      <c r="AA59" s="93">
        <f t="shared" si="3"/>
        <v>0</v>
      </c>
      <c r="AB59" s="139">
        <f t="shared" si="4"/>
        <v>0</v>
      </c>
      <c r="AC59" s="134">
        <f t="shared" si="5"/>
        <v>1</v>
      </c>
      <c r="AD59" s="32"/>
      <c r="AE59" s="32"/>
      <c r="AF59" s="32"/>
    </row>
    <row r="60">
      <c r="A60" s="41">
        <v>58.0</v>
      </c>
      <c r="B60" s="68" t="s">
        <v>101</v>
      </c>
      <c r="C60" s="144"/>
      <c r="D60" s="144"/>
      <c r="E60" s="144"/>
      <c r="F60" s="144"/>
      <c r="G60" s="144"/>
      <c r="H60" s="143">
        <v>5.0</v>
      </c>
      <c r="I60" s="144"/>
      <c r="J60" s="136"/>
      <c r="K60" s="137"/>
      <c r="L60" s="137"/>
      <c r="M60" s="39"/>
      <c r="N60" s="39"/>
      <c r="O60" s="42"/>
      <c r="P60" s="99"/>
      <c r="Q60" s="42"/>
      <c r="R60" s="42"/>
      <c r="S60" s="42"/>
      <c r="T60" s="39"/>
      <c r="U60" s="39"/>
      <c r="V60" s="39"/>
      <c r="W60" s="39"/>
      <c r="X60" s="39"/>
      <c r="Y60" s="39"/>
      <c r="Z60" s="39"/>
      <c r="AA60" s="93">
        <f t="shared" si="3"/>
        <v>0</v>
      </c>
      <c r="AB60" s="139">
        <f t="shared" si="4"/>
        <v>0</v>
      </c>
      <c r="AC60" s="134">
        <f t="shared" si="5"/>
        <v>1</v>
      </c>
      <c r="AD60" s="32"/>
      <c r="AE60" s="32"/>
      <c r="AF60" s="32"/>
    </row>
    <row r="61">
      <c r="A61" s="41">
        <v>59.0</v>
      </c>
      <c r="B61" s="68" t="s">
        <v>102</v>
      </c>
      <c r="C61" s="144"/>
      <c r="D61" s="144"/>
      <c r="E61" s="144"/>
      <c r="F61" s="144"/>
      <c r="G61" s="144"/>
      <c r="H61" s="143">
        <v>5.0</v>
      </c>
      <c r="I61" s="144"/>
      <c r="J61" s="136"/>
      <c r="K61" s="137"/>
      <c r="L61" s="137"/>
      <c r="M61" s="39"/>
      <c r="N61" s="39"/>
      <c r="O61" s="42"/>
      <c r="P61" s="99"/>
      <c r="Q61" s="42"/>
      <c r="R61" s="42"/>
      <c r="S61" s="42"/>
      <c r="T61" s="39"/>
      <c r="U61" s="39"/>
      <c r="V61" s="39"/>
      <c r="W61" s="39"/>
      <c r="X61" s="39"/>
      <c r="Y61" s="39"/>
      <c r="Z61" s="39"/>
      <c r="AA61" s="93">
        <f t="shared" si="3"/>
        <v>0</v>
      </c>
      <c r="AB61" s="139">
        <f t="shared" si="4"/>
        <v>0</v>
      </c>
      <c r="AC61" s="134">
        <f t="shared" si="5"/>
        <v>1</v>
      </c>
      <c r="AD61" s="32"/>
      <c r="AE61" s="32"/>
      <c r="AF61" s="32"/>
    </row>
    <row r="62">
      <c r="A62" s="41">
        <v>60.0</v>
      </c>
      <c r="B62" s="68" t="s">
        <v>103</v>
      </c>
      <c r="C62" s="144"/>
      <c r="D62" s="144"/>
      <c r="E62" s="144"/>
      <c r="F62" s="144"/>
      <c r="G62" s="144"/>
      <c r="H62" s="143">
        <v>5.0</v>
      </c>
      <c r="I62" s="144"/>
      <c r="J62" s="136"/>
      <c r="K62" s="137"/>
      <c r="L62" s="137"/>
      <c r="M62" s="39"/>
      <c r="N62" s="39"/>
      <c r="O62" s="42"/>
      <c r="P62" s="99">
        <v>5.0</v>
      </c>
      <c r="Q62" s="42"/>
      <c r="R62" s="42"/>
      <c r="S62" s="42"/>
      <c r="T62" s="39"/>
      <c r="U62" s="39"/>
      <c r="V62" s="39"/>
      <c r="W62" s="39"/>
      <c r="X62" s="39"/>
      <c r="Y62" s="39"/>
      <c r="Z62" s="39"/>
      <c r="AA62" s="93">
        <f t="shared" si="3"/>
        <v>5</v>
      </c>
      <c r="AB62" s="139">
        <f t="shared" si="4"/>
        <v>7.142857143</v>
      </c>
      <c r="AC62" s="134">
        <f t="shared" si="5"/>
        <v>2</v>
      </c>
      <c r="AD62" s="32"/>
      <c r="AE62" s="32"/>
      <c r="AF62" s="32"/>
    </row>
    <row r="63">
      <c r="A63" s="41">
        <v>61.0</v>
      </c>
      <c r="B63" s="68" t="s">
        <v>104</v>
      </c>
      <c r="C63" s="144"/>
      <c r="D63" s="144"/>
      <c r="E63" s="144"/>
      <c r="F63" s="144"/>
      <c r="G63" s="144"/>
      <c r="H63" s="143">
        <v>5.0</v>
      </c>
      <c r="I63" s="144"/>
      <c r="J63" s="136"/>
      <c r="K63" s="143">
        <v>5.0</v>
      </c>
      <c r="L63" s="137"/>
      <c r="M63" s="39"/>
      <c r="N63" s="39"/>
      <c r="O63" s="42"/>
      <c r="P63" s="99"/>
      <c r="Q63" s="42"/>
      <c r="R63" s="42"/>
      <c r="S63" s="42"/>
      <c r="T63" s="39"/>
      <c r="U63" s="39"/>
      <c r="V63" s="39"/>
      <c r="W63" s="39"/>
      <c r="X63" s="39"/>
      <c r="Y63" s="39"/>
      <c r="Z63" s="39"/>
      <c r="AA63" s="93">
        <f t="shared" si="3"/>
        <v>0</v>
      </c>
      <c r="AB63" s="139">
        <f t="shared" si="4"/>
        <v>0</v>
      </c>
      <c r="AC63" s="134">
        <f t="shared" si="5"/>
        <v>2</v>
      </c>
      <c r="AD63" s="32"/>
      <c r="AE63" s="32"/>
      <c r="AF63" s="32"/>
    </row>
    <row r="64">
      <c r="A64" s="16">
        <v>62.0</v>
      </c>
      <c r="B64" s="158" t="s">
        <v>105</v>
      </c>
      <c r="C64" s="144"/>
      <c r="D64" s="144"/>
      <c r="E64" s="144"/>
      <c r="F64" s="144"/>
      <c r="G64" s="144"/>
      <c r="H64" s="143">
        <v>5.0</v>
      </c>
      <c r="I64" s="144"/>
      <c r="J64" s="147">
        <v>5.0</v>
      </c>
      <c r="K64" s="143">
        <v>5.0</v>
      </c>
      <c r="L64" s="143">
        <v>5.0</v>
      </c>
      <c r="M64" s="39"/>
      <c r="N64" s="39">
        <v>5.0</v>
      </c>
      <c r="O64" s="42">
        <v>5.0</v>
      </c>
      <c r="P64" s="99">
        <v>5.0</v>
      </c>
      <c r="Q64" s="42">
        <v>5.0</v>
      </c>
      <c r="R64" s="42"/>
      <c r="S64" s="42">
        <v>5.0</v>
      </c>
      <c r="T64" s="39">
        <v>5.0</v>
      </c>
      <c r="U64" s="39">
        <v>5.0</v>
      </c>
      <c r="V64" s="39">
        <v>5.0</v>
      </c>
      <c r="W64" s="64"/>
      <c r="X64" s="64"/>
      <c r="Y64" s="64"/>
      <c r="Z64" s="64"/>
      <c r="AA64" s="93">
        <f t="shared" si="3"/>
        <v>40</v>
      </c>
      <c r="AB64" s="139">
        <f t="shared" si="4"/>
        <v>57.14285714</v>
      </c>
      <c r="AC64" s="134">
        <f t="shared" si="5"/>
        <v>12</v>
      </c>
      <c r="AD64" s="32"/>
      <c r="AE64" s="32"/>
      <c r="AF64" s="32"/>
    </row>
    <row r="65">
      <c r="A65" s="41">
        <v>63.0</v>
      </c>
      <c r="B65" s="68" t="s">
        <v>106</v>
      </c>
      <c r="C65" s="144"/>
      <c r="D65" s="144"/>
      <c r="E65" s="144"/>
      <c r="F65" s="144"/>
      <c r="G65" s="144"/>
      <c r="H65" s="143">
        <v>5.0</v>
      </c>
      <c r="I65" s="144"/>
      <c r="J65" s="136"/>
      <c r="K65" s="137"/>
      <c r="L65" s="137"/>
      <c r="M65" s="39"/>
      <c r="N65" s="39"/>
      <c r="O65" s="42"/>
      <c r="P65" s="99"/>
      <c r="Q65" s="42"/>
      <c r="R65" s="42"/>
      <c r="S65" s="42"/>
      <c r="T65" s="39"/>
      <c r="U65" s="39"/>
      <c r="V65" s="39"/>
      <c r="W65" s="41"/>
      <c r="X65" s="41"/>
      <c r="Y65" s="41"/>
      <c r="Z65" s="41">
        <v>5.0</v>
      </c>
      <c r="AA65" s="93">
        <f t="shared" si="3"/>
        <v>5</v>
      </c>
      <c r="AB65" s="139">
        <f t="shared" si="4"/>
        <v>7.142857143</v>
      </c>
      <c r="AC65" s="134">
        <f t="shared" si="5"/>
        <v>2</v>
      </c>
      <c r="AD65" s="32"/>
      <c r="AE65" s="32"/>
      <c r="AF65" s="32"/>
    </row>
    <row r="66">
      <c r="A66" s="41">
        <v>64.0</v>
      </c>
      <c r="B66" s="68" t="s">
        <v>107</v>
      </c>
      <c r="C66" s="144"/>
      <c r="D66" s="144"/>
      <c r="E66" s="144"/>
      <c r="F66" s="144"/>
      <c r="G66" s="144"/>
      <c r="H66" s="144"/>
      <c r="I66" s="143">
        <v>5.0</v>
      </c>
      <c r="J66" s="136"/>
      <c r="K66" s="137"/>
      <c r="L66" s="137"/>
      <c r="M66" s="39"/>
      <c r="N66" s="39"/>
      <c r="O66" s="42"/>
      <c r="P66" s="99"/>
      <c r="Q66" s="42"/>
      <c r="R66" s="42"/>
      <c r="S66" s="42"/>
      <c r="T66" s="39"/>
      <c r="U66" s="39">
        <v>5.0</v>
      </c>
      <c r="V66" s="39"/>
      <c r="W66" s="39"/>
      <c r="X66" s="39"/>
      <c r="Y66" s="39"/>
      <c r="Z66" s="39"/>
      <c r="AA66" s="93">
        <f t="shared" si="3"/>
        <v>5</v>
      </c>
      <c r="AB66" s="139">
        <f t="shared" si="4"/>
        <v>7.142857143</v>
      </c>
      <c r="AC66" s="134">
        <f t="shared" si="5"/>
        <v>2</v>
      </c>
      <c r="AD66" s="32"/>
      <c r="AE66" s="32"/>
      <c r="AF66" s="32"/>
    </row>
    <row r="67">
      <c r="A67" s="41">
        <v>65.0</v>
      </c>
      <c r="B67" s="100" t="s">
        <v>108</v>
      </c>
      <c r="C67" s="159"/>
      <c r="D67" s="159"/>
      <c r="E67" s="159"/>
      <c r="F67" s="159"/>
      <c r="G67" s="159"/>
      <c r="H67" s="159"/>
      <c r="I67" s="159"/>
      <c r="J67" s="160">
        <v>5.0</v>
      </c>
      <c r="K67" s="159"/>
      <c r="L67" s="159"/>
      <c r="M67" s="39"/>
      <c r="N67" s="39"/>
      <c r="O67" s="42"/>
      <c r="P67" s="99"/>
      <c r="Q67" s="42"/>
      <c r="R67" s="42"/>
      <c r="S67" s="42"/>
      <c r="T67" s="39"/>
      <c r="U67" s="39"/>
      <c r="V67" s="39"/>
      <c r="W67" s="39"/>
      <c r="X67" s="39"/>
      <c r="Y67" s="39"/>
      <c r="Z67" s="39"/>
      <c r="AA67" s="93">
        <f t="shared" si="3"/>
        <v>0</v>
      </c>
      <c r="AB67" s="139">
        <f t="shared" si="4"/>
        <v>0</v>
      </c>
      <c r="AC67" s="134">
        <f t="shared" si="5"/>
        <v>1</v>
      </c>
      <c r="AD67" s="32"/>
      <c r="AE67" s="32"/>
      <c r="AF67" s="32"/>
    </row>
    <row r="68">
      <c r="A68" s="39">
        <v>66.0</v>
      </c>
      <c r="B68" s="68" t="s">
        <v>109</v>
      </c>
      <c r="C68" s="144"/>
      <c r="D68" s="144"/>
      <c r="E68" s="144"/>
      <c r="F68" s="144"/>
      <c r="G68" s="144"/>
      <c r="H68" s="144"/>
      <c r="I68" s="144"/>
      <c r="J68" s="143">
        <v>5.0</v>
      </c>
      <c r="K68" s="144"/>
      <c r="L68" s="144"/>
      <c r="M68" s="39"/>
      <c r="N68" s="39"/>
      <c r="O68" s="42"/>
      <c r="P68" s="99"/>
      <c r="Q68" s="42"/>
      <c r="R68" s="42"/>
      <c r="S68" s="42"/>
      <c r="T68" s="39"/>
      <c r="U68" s="39"/>
      <c r="V68" s="39"/>
      <c r="W68" s="39"/>
      <c r="X68" s="39"/>
      <c r="Y68" s="39"/>
      <c r="Z68" s="39"/>
      <c r="AA68" s="93">
        <f t="shared" si="3"/>
        <v>0</v>
      </c>
      <c r="AB68" s="139">
        <f t="shared" si="4"/>
        <v>0</v>
      </c>
      <c r="AC68" s="134">
        <f t="shared" si="5"/>
        <v>1</v>
      </c>
      <c r="AD68" s="32"/>
      <c r="AE68" s="32"/>
      <c r="AF68" s="32"/>
    </row>
    <row r="69">
      <c r="A69" s="41">
        <v>67.0</v>
      </c>
      <c r="B69" s="68" t="s">
        <v>110</v>
      </c>
      <c r="C69" s="144"/>
      <c r="D69" s="144"/>
      <c r="E69" s="144"/>
      <c r="F69" s="144"/>
      <c r="G69" s="144"/>
      <c r="H69" s="144"/>
      <c r="I69" s="144"/>
      <c r="J69" s="143">
        <v>5.0</v>
      </c>
      <c r="K69" s="144"/>
      <c r="L69" s="144"/>
      <c r="M69" s="39"/>
      <c r="N69" s="39"/>
      <c r="O69" s="42"/>
      <c r="P69" s="99">
        <v>5.0</v>
      </c>
      <c r="Q69" s="42"/>
      <c r="R69" s="42"/>
      <c r="S69" s="42"/>
      <c r="T69" s="39"/>
      <c r="U69" s="39"/>
      <c r="V69" s="39"/>
      <c r="W69" s="39"/>
      <c r="X69" s="39"/>
      <c r="Y69" s="39"/>
      <c r="Z69" s="39"/>
      <c r="AA69" s="93">
        <f t="shared" si="3"/>
        <v>5</v>
      </c>
      <c r="AB69" s="139">
        <f t="shared" si="4"/>
        <v>7.142857143</v>
      </c>
      <c r="AC69" s="134">
        <f t="shared" si="5"/>
        <v>2</v>
      </c>
      <c r="AD69" s="32"/>
      <c r="AE69" s="32"/>
      <c r="AF69" s="32"/>
    </row>
    <row r="70">
      <c r="A70" s="41">
        <v>68.0</v>
      </c>
      <c r="B70" s="68" t="s">
        <v>111</v>
      </c>
      <c r="C70" s="144"/>
      <c r="D70" s="144"/>
      <c r="E70" s="144"/>
      <c r="F70" s="144"/>
      <c r="G70" s="144"/>
      <c r="H70" s="144"/>
      <c r="I70" s="144"/>
      <c r="J70" s="143">
        <v>5.0</v>
      </c>
      <c r="K70" s="144"/>
      <c r="L70" s="144"/>
      <c r="M70" s="39"/>
      <c r="N70" s="39"/>
      <c r="O70" s="42"/>
      <c r="P70" s="99"/>
      <c r="Q70" s="42"/>
      <c r="R70" s="42"/>
      <c r="S70" s="42"/>
      <c r="T70" s="39"/>
      <c r="U70" s="39"/>
      <c r="V70" s="39"/>
      <c r="W70" s="39"/>
      <c r="X70" s="39"/>
      <c r="Y70" s="39"/>
      <c r="Z70" s="39"/>
      <c r="AA70" s="93">
        <f t="shared" si="3"/>
        <v>0</v>
      </c>
      <c r="AB70" s="139">
        <f t="shared" si="4"/>
        <v>0</v>
      </c>
      <c r="AC70" s="134">
        <f t="shared" si="5"/>
        <v>1</v>
      </c>
      <c r="AD70" s="32"/>
      <c r="AE70" s="32"/>
      <c r="AF70" s="32"/>
    </row>
    <row r="71">
      <c r="A71" s="41">
        <v>69.0</v>
      </c>
      <c r="B71" s="68" t="s">
        <v>112</v>
      </c>
      <c r="C71" s="144"/>
      <c r="D71" s="144"/>
      <c r="E71" s="144"/>
      <c r="F71" s="144"/>
      <c r="G71" s="144"/>
      <c r="H71" s="144"/>
      <c r="I71" s="144"/>
      <c r="J71" s="144"/>
      <c r="K71" s="143">
        <v>5.0</v>
      </c>
      <c r="L71" s="144"/>
      <c r="M71" s="39"/>
      <c r="N71" s="39"/>
      <c r="O71" s="42"/>
      <c r="P71" s="99"/>
      <c r="Q71" s="42"/>
      <c r="R71" s="42"/>
      <c r="S71" s="42"/>
      <c r="T71" s="39"/>
      <c r="U71" s="39"/>
      <c r="V71" s="39"/>
      <c r="W71" s="39"/>
      <c r="X71" s="39"/>
      <c r="Y71" s="39"/>
      <c r="Z71" s="39"/>
      <c r="AA71" s="93">
        <f t="shared" si="3"/>
        <v>0</v>
      </c>
      <c r="AB71" s="139">
        <f t="shared" si="4"/>
        <v>0</v>
      </c>
      <c r="AC71" s="134">
        <f t="shared" si="5"/>
        <v>1</v>
      </c>
      <c r="AD71" s="32"/>
      <c r="AE71" s="32"/>
      <c r="AF71" s="32"/>
    </row>
    <row r="72">
      <c r="A72" s="41">
        <v>70.0</v>
      </c>
      <c r="B72" s="68" t="s">
        <v>113</v>
      </c>
      <c r="C72" s="144"/>
      <c r="D72" s="144"/>
      <c r="E72" s="144"/>
      <c r="F72" s="144"/>
      <c r="G72" s="144"/>
      <c r="H72" s="144"/>
      <c r="I72" s="144"/>
      <c r="J72" s="144"/>
      <c r="K72" s="143">
        <v>5.0</v>
      </c>
      <c r="L72" s="144"/>
      <c r="M72" s="39">
        <v>5.0</v>
      </c>
      <c r="N72" s="39">
        <v>5.0</v>
      </c>
      <c r="O72" s="42"/>
      <c r="P72" s="99">
        <v>5.0</v>
      </c>
      <c r="Q72" s="42">
        <v>5.0</v>
      </c>
      <c r="R72" s="42"/>
      <c r="S72" s="42">
        <v>5.0</v>
      </c>
      <c r="T72" s="39">
        <v>5.0</v>
      </c>
      <c r="U72" s="39"/>
      <c r="V72" s="39">
        <v>5.0</v>
      </c>
      <c r="W72" s="39">
        <v>5.0</v>
      </c>
      <c r="X72" s="39"/>
      <c r="Y72" s="39"/>
      <c r="Z72" s="39"/>
      <c r="AA72" s="93">
        <f t="shared" si="3"/>
        <v>40</v>
      </c>
      <c r="AB72" s="139">
        <f t="shared" si="4"/>
        <v>57.14285714</v>
      </c>
      <c r="AC72" s="134">
        <f t="shared" si="5"/>
        <v>9</v>
      </c>
      <c r="AD72" s="32"/>
      <c r="AE72" s="32"/>
      <c r="AF72" s="32"/>
    </row>
    <row r="73">
      <c r="A73" s="41">
        <v>71.0</v>
      </c>
      <c r="B73" s="68" t="s">
        <v>114</v>
      </c>
      <c r="C73" s="144"/>
      <c r="D73" s="144"/>
      <c r="E73" s="144"/>
      <c r="F73" s="144"/>
      <c r="G73" s="144"/>
      <c r="H73" s="144"/>
      <c r="I73" s="144"/>
      <c r="J73" s="144"/>
      <c r="K73" s="143">
        <v>5.0</v>
      </c>
      <c r="L73" s="144"/>
      <c r="M73" s="39"/>
      <c r="N73" s="39"/>
      <c r="O73" s="42"/>
      <c r="P73" s="99"/>
      <c r="Q73" s="42"/>
      <c r="R73" s="42"/>
      <c r="S73" s="42"/>
      <c r="T73" s="39"/>
      <c r="U73" s="39"/>
      <c r="V73" s="39"/>
      <c r="W73" s="39"/>
      <c r="X73" s="39"/>
      <c r="Y73" s="39"/>
      <c r="Z73" s="39"/>
      <c r="AA73" s="93">
        <f t="shared" si="3"/>
        <v>0</v>
      </c>
      <c r="AB73" s="139">
        <f t="shared" si="4"/>
        <v>0</v>
      </c>
      <c r="AC73" s="134">
        <f t="shared" si="5"/>
        <v>1</v>
      </c>
      <c r="AD73" s="32"/>
      <c r="AE73" s="32"/>
      <c r="AF73" s="32"/>
    </row>
    <row r="74">
      <c r="A74" s="41">
        <v>72.0</v>
      </c>
      <c r="B74" s="68" t="s">
        <v>115</v>
      </c>
      <c r="C74" s="144"/>
      <c r="D74" s="144"/>
      <c r="E74" s="144"/>
      <c r="F74" s="144"/>
      <c r="G74" s="144"/>
      <c r="H74" s="144"/>
      <c r="I74" s="144"/>
      <c r="J74" s="144"/>
      <c r="K74" s="143">
        <v>5.0</v>
      </c>
      <c r="L74" s="144"/>
      <c r="M74" s="39"/>
      <c r="N74" s="39"/>
      <c r="O74" s="42"/>
      <c r="P74" s="99"/>
      <c r="Q74" s="42"/>
      <c r="R74" s="42"/>
      <c r="S74" s="42"/>
      <c r="T74" s="39"/>
      <c r="U74" s="39"/>
      <c r="V74" s="39"/>
      <c r="W74" s="39"/>
      <c r="X74" s="39"/>
      <c r="Y74" s="39"/>
      <c r="Z74" s="39"/>
      <c r="AA74" s="93">
        <f t="shared" si="3"/>
        <v>0</v>
      </c>
      <c r="AB74" s="139">
        <f t="shared" si="4"/>
        <v>0</v>
      </c>
      <c r="AC74" s="134">
        <f t="shared" si="5"/>
        <v>1</v>
      </c>
      <c r="AD74" s="32"/>
      <c r="AE74" s="32"/>
      <c r="AF74" s="32"/>
    </row>
    <row r="75">
      <c r="A75" s="41">
        <v>73.0</v>
      </c>
      <c r="B75" s="68" t="s">
        <v>116</v>
      </c>
      <c r="C75" s="144"/>
      <c r="D75" s="144"/>
      <c r="E75" s="144"/>
      <c r="F75" s="144"/>
      <c r="G75" s="144"/>
      <c r="H75" s="144"/>
      <c r="I75" s="144"/>
      <c r="J75" s="144"/>
      <c r="K75" s="143">
        <v>5.0</v>
      </c>
      <c r="L75" s="144"/>
      <c r="M75" s="39"/>
      <c r="N75" s="39"/>
      <c r="O75" s="42"/>
      <c r="P75" s="99"/>
      <c r="Q75" s="42"/>
      <c r="R75" s="42"/>
      <c r="S75" s="42"/>
      <c r="T75" s="39"/>
      <c r="U75" s="39"/>
      <c r="V75" s="39"/>
      <c r="W75" s="39"/>
      <c r="X75" s="39"/>
      <c r="Y75" s="39"/>
      <c r="Z75" s="39"/>
      <c r="AA75" s="93">
        <f t="shared" si="3"/>
        <v>0</v>
      </c>
      <c r="AB75" s="139">
        <f t="shared" si="4"/>
        <v>0</v>
      </c>
      <c r="AC75" s="134">
        <f t="shared" si="5"/>
        <v>1</v>
      </c>
      <c r="AD75" s="32"/>
      <c r="AE75" s="32"/>
      <c r="AF75" s="32"/>
    </row>
    <row r="76">
      <c r="A76" s="41">
        <v>74.0</v>
      </c>
      <c r="B76" s="68" t="s">
        <v>117</v>
      </c>
      <c r="C76" s="144"/>
      <c r="D76" s="144"/>
      <c r="E76" s="144"/>
      <c r="F76" s="144"/>
      <c r="G76" s="144"/>
      <c r="H76" s="144"/>
      <c r="I76" s="144"/>
      <c r="J76" s="144"/>
      <c r="K76" s="143">
        <v>5.0</v>
      </c>
      <c r="L76" s="144"/>
      <c r="M76" s="39"/>
      <c r="N76" s="39"/>
      <c r="O76" s="42"/>
      <c r="P76" s="99"/>
      <c r="Q76" s="42"/>
      <c r="R76" s="42"/>
      <c r="S76" s="42"/>
      <c r="T76" s="39"/>
      <c r="U76" s="39"/>
      <c r="V76" s="39"/>
      <c r="W76" s="39"/>
      <c r="X76" s="39"/>
      <c r="Y76" s="39"/>
      <c r="Z76" s="39"/>
      <c r="AA76" s="93">
        <f t="shared" si="3"/>
        <v>0</v>
      </c>
      <c r="AB76" s="139">
        <f t="shared" si="4"/>
        <v>0</v>
      </c>
      <c r="AC76" s="134">
        <f t="shared" si="5"/>
        <v>1</v>
      </c>
      <c r="AD76" s="32"/>
      <c r="AE76" s="32"/>
      <c r="AF76" s="32"/>
    </row>
    <row r="77">
      <c r="A77" s="41">
        <v>75.0</v>
      </c>
      <c r="B77" s="68" t="s">
        <v>118</v>
      </c>
      <c r="C77" s="144"/>
      <c r="D77" s="144"/>
      <c r="E77" s="144"/>
      <c r="F77" s="144"/>
      <c r="G77" s="144"/>
      <c r="H77" s="144"/>
      <c r="I77" s="144"/>
      <c r="J77" s="144"/>
      <c r="K77" s="143">
        <v>5.0</v>
      </c>
      <c r="L77" s="144"/>
      <c r="M77" s="39"/>
      <c r="N77" s="39"/>
      <c r="O77" s="42"/>
      <c r="P77" s="99"/>
      <c r="Q77" s="42"/>
      <c r="R77" s="42"/>
      <c r="S77" s="42"/>
      <c r="T77" s="39"/>
      <c r="U77" s="39"/>
      <c r="V77" s="39"/>
      <c r="W77" s="39"/>
      <c r="X77" s="39"/>
      <c r="Y77" s="39"/>
      <c r="Z77" s="39"/>
      <c r="AA77" s="93">
        <f t="shared" si="3"/>
        <v>0</v>
      </c>
      <c r="AB77" s="139">
        <f t="shared" si="4"/>
        <v>0</v>
      </c>
      <c r="AC77" s="134">
        <f t="shared" si="5"/>
        <v>1</v>
      </c>
      <c r="AD77" s="32"/>
      <c r="AE77" s="32"/>
      <c r="AF77" s="32"/>
    </row>
    <row r="78">
      <c r="A78" s="41">
        <v>76.0</v>
      </c>
      <c r="B78" s="68" t="s">
        <v>119</v>
      </c>
      <c r="C78" s="144"/>
      <c r="D78" s="144"/>
      <c r="E78" s="144"/>
      <c r="F78" s="144"/>
      <c r="G78" s="144"/>
      <c r="H78" s="144"/>
      <c r="I78" s="144"/>
      <c r="J78" s="144"/>
      <c r="K78" s="143">
        <v>5.0</v>
      </c>
      <c r="L78" s="144"/>
      <c r="M78" s="39"/>
      <c r="N78" s="39"/>
      <c r="O78" s="42"/>
      <c r="P78" s="99"/>
      <c r="Q78" s="42"/>
      <c r="R78" s="42"/>
      <c r="S78" s="42"/>
      <c r="T78" s="39"/>
      <c r="U78" s="39"/>
      <c r="V78" s="39"/>
      <c r="W78" s="39"/>
      <c r="X78" s="39"/>
      <c r="Y78" s="39"/>
      <c r="Z78" s="39"/>
      <c r="AA78" s="93">
        <f t="shared" si="3"/>
        <v>0</v>
      </c>
      <c r="AB78" s="139">
        <f t="shared" si="4"/>
        <v>0</v>
      </c>
      <c r="AC78" s="134">
        <f t="shared" si="5"/>
        <v>1</v>
      </c>
      <c r="AD78" s="32"/>
      <c r="AE78" s="32"/>
      <c r="AF78" s="32"/>
    </row>
    <row r="79">
      <c r="A79" s="41">
        <v>77.0</v>
      </c>
      <c r="B79" s="68" t="s">
        <v>120</v>
      </c>
      <c r="C79" s="144"/>
      <c r="D79" s="144"/>
      <c r="E79" s="144"/>
      <c r="F79" s="144"/>
      <c r="G79" s="144"/>
      <c r="H79" s="144"/>
      <c r="I79" s="144"/>
      <c r="J79" s="144"/>
      <c r="K79" s="143">
        <v>5.0</v>
      </c>
      <c r="L79" s="144"/>
      <c r="M79" s="39"/>
      <c r="N79" s="39"/>
      <c r="O79" s="42">
        <v>5.0</v>
      </c>
      <c r="P79" s="99">
        <v>5.0</v>
      </c>
      <c r="Q79" s="42"/>
      <c r="R79" s="42"/>
      <c r="S79" s="42"/>
      <c r="T79" s="39">
        <v>5.0</v>
      </c>
      <c r="U79" s="39">
        <v>5.0</v>
      </c>
      <c r="V79" s="39"/>
      <c r="W79" s="39">
        <v>5.0</v>
      </c>
      <c r="X79" s="39">
        <v>5.0</v>
      </c>
      <c r="Y79" s="39"/>
      <c r="Z79" s="39"/>
      <c r="AA79" s="93">
        <f t="shared" si="3"/>
        <v>30</v>
      </c>
      <c r="AB79" s="139">
        <f t="shared" si="4"/>
        <v>42.85714286</v>
      </c>
      <c r="AC79" s="134">
        <f t="shared" si="5"/>
        <v>7</v>
      </c>
      <c r="AD79" s="32"/>
      <c r="AE79" s="32"/>
      <c r="AF79" s="32"/>
    </row>
    <row r="80">
      <c r="A80" s="41">
        <v>78.0</v>
      </c>
      <c r="B80" s="68" t="s">
        <v>121</v>
      </c>
      <c r="C80" s="144"/>
      <c r="D80" s="144"/>
      <c r="E80" s="144"/>
      <c r="F80" s="144"/>
      <c r="G80" s="144"/>
      <c r="H80" s="144"/>
      <c r="I80" s="144"/>
      <c r="J80" s="144"/>
      <c r="K80" s="144"/>
      <c r="L80" s="143">
        <v>5.0</v>
      </c>
      <c r="M80" s="39"/>
      <c r="N80" s="39"/>
      <c r="O80" s="42"/>
      <c r="P80" s="99"/>
      <c r="Q80" s="42"/>
      <c r="R80" s="42"/>
      <c r="S80" s="42">
        <v>5.0</v>
      </c>
      <c r="T80" s="39"/>
      <c r="U80" s="39"/>
      <c r="V80" s="39"/>
      <c r="W80" s="39">
        <v>5.0</v>
      </c>
      <c r="X80" s="39">
        <v>5.0</v>
      </c>
      <c r="Y80" s="39"/>
      <c r="Z80" s="39"/>
      <c r="AA80" s="93">
        <f t="shared" si="3"/>
        <v>15</v>
      </c>
      <c r="AB80" s="139">
        <f t="shared" si="4"/>
        <v>21.42857143</v>
      </c>
      <c r="AC80" s="134">
        <f t="shared" si="5"/>
        <v>4</v>
      </c>
      <c r="AD80" s="32"/>
      <c r="AE80" s="32"/>
      <c r="AF80" s="32"/>
    </row>
    <row r="81">
      <c r="A81" s="41">
        <v>79.0</v>
      </c>
      <c r="B81" s="68" t="s">
        <v>122</v>
      </c>
      <c r="C81" s="144"/>
      <c r="D81" s="144"/>
      <c r="E81" s="144"/>
      <c r="F81" s="144"/>
      <c r="G81" s="144"/>
      <c r="H81" s="144"/>
      <c r="I81" s="144"/>
      <c r="J81" s="144"/>
      <c r="K81" s="144"/>
      <c r="L81" s="143">
        <v>5.0</v>
      </c>
      <c r="M81" s="39"/>
      <c r="N81" s="39"/>
      <c r="O81" s="42"/>
      <c r="P81" s="99"/>
      <c r="Q81" s="42"/>
      <c r="R81" s="42"/>
      <c r="S81" s="42"/>
      <c r="T81" s="39"/>
      <c r="U81" s="39"/>
      <c r="V81" s="39"/>
      <c r="W81" s="39"/>
      <c r="X81" s="39"/>
      <c r="Y81" s="39"/>
      <c r="Z81" s="39"/>
      <c r="AA81" s="93">
        <f t="shared" si="3"/>
        <v>0</v>
      </c>
      <c r="AB81" s="139">
        <f t="shared" si="4"/>
        <v>0</v>
      </c>
      <c r="AC81" s="134">
        <f t="shared" si="5"/>
        <v>1</v>
      </c>
      <c r="AD81" s="32"/>
      <c r="AE81" s="32"/>
      <c r="AF81" s="32"/>
    </row>
    <row r="82">
      <c r="A82" s="41">
        <v>80.0</v>
      </c>
      <c r="B82" s="68" t="s">
        <v>123</v>
      </c>
      <c r="C82" s="144"/>
      <c r="D82" s="144"/>
      <c r="E82" s="144"/>
      <c r="F82" s="144"/>
      <c r="G82" s="144"/>
      <c r="H82" s="144"/>
      <c r="I82" s="144"/>
      <c r="J82" s="144"/>
      <c r="K82" s="144"/>
      <c r="L82" s="143"/>
      <c r="M82" s="39">
        <v>5.0</v>
      </c>
      <c r="N82" s="39"/>
      <c r="O82" s="42"/>
      <c r="P82" s="99">
        <v>5.0</v>
      </c>
      <c r="Q82" s="42"/>
      <c r="R82" s="42"/>
      <c r="S82" s="42"/>
      <c r="T82" s="39"/>
      <c r="U82" s="39"/>
      <c r="V82" s="39"/>
      <c r="W82" s="39"/>
      <c r="X82" s="39"/>
      <c r="Y82" s="39"/>
      <c r="Z82" s="39"/>
      <c r="AA82" s="93">
        <f t="shared" si="3"/>
        <v>10</v>
      </c>
      <c r="AB82" s="139">
        <f t="shared" si="4"/>
        <v>14.28571429</v>
      </c>
      <c r="AC82" s="134">
        <f t="shared" si="5"/>
        <v>2</v>
      </c>
      <c r="AD82" s="32"/>
      <c r="AE82" s="32"/>
      <c r="AF82" s="32"/>
    </row>
    <row r="83">
      <c r="A83" s="41">
        <v>81.0</v>
      </c>
      <c r="B83" s="68" t="s">
        <v>124</v>
      </c>
      <c r="C83" s="144"/>
      <c r="D83" s="144"/>
      <c r="E83" s="144"/>
      <c r="F83" s="144"/>
      <c r="G83" s="144"/>
      <c r="H83" s="144"/>
      <c r="I83" s="144"/>
      <c r="J83" s="161"/>
      <c r="K83" s="161"/>
      <c r="L83" s="161"/>
      <c r="M83" s="42">
        <v>5.0</v>
      </c>
      <c r="N83" s="104"/>
      <c r="O83" s="104"/>
      <c r="P83" s="99"/>
      <c r="Q83" s="42"/>
      <c r="R83" s="42"/>
      <c r="S83" s="42"/>
      <c r="T83" s="39"/>
      <c r="U83" s="39">
        <v>5.0</v>
      </c>
      <c r="V83" s="39"/>
      <c r="W83" s="39"/>
      <c r="X83" s="39"/>
      <c r="Y83" s="39"/>
      <c r="Z83" s="39"/>
      <c r="AA83" s="93">
        <f t="shared" si="3"/>
        <v>10</v>
      </c>
      <c r="AB83" s="139">
        <f t="shared" si="4"/>
        <v>14.28571429</v>
      </c>
      <c r="AC83" s="134">
        <f t="shared" si="5"/>
        <v>2</v>
      </c>
      <c r="AD83" s="32"/>
      <c r="AE83" s="32"/>
      <c r="AF83" s="32"/>
    </row>
    <row r="84">
      <c r="A84" s="41">
        <v>82.0</v>
      </c>
      <c r="B84" s="68" t="s">
        <v>125</v>
      </c>
      <c r="C84" s="144"/>
      <c r="D84" s="144"/>
      <c r="E84" s="144"/>
      <c r="F84" s="144"/>
      <c r="G84" s="144"/>
      <c r="H84" s="144"/>
      <c r="I84" s="144"/>
      <c r="J84" s="161"/>
      <c r="K84" s="161"/>
      <c r="L84" s="161"/>
      <c r="M84" s="42">
        <v>5.0</v>
      </c>
      <c r="N84" s="104"/>
      <c r="O84" s="104"/>
      <c r="P84" s="99"/>
      <c r="Q84" s="42"/>
      <c r="R84" s="42"/>
      <c r="S84" s="42"/>
      <c r="T84" s="39"/>
      <c r="U84" s="39"/>
      <c r="V84" s="39"/>
      <c r="W84" s="39"/>
      <c r="X84" s="39"/>
      <c r="Y84" s="39"/>
      <c r="Z84" s="39"/>
      <c r="AA84" s="93">
        <f t="shared" si="3"/>
        <v>5</v>
      </c>
      <c r="AB84" s="139">
        <f t="shared" si="4"/>
        <v>7.142857143</v>
      </c>
      <c r="AC84" s="134">
        <f t="shared" si="5"/>
        <v>1</v>
      </c>
      <c r="AD84" s="32"/>
      <c r="AE84" s="32"/>
      <c r="AF84" s="32"/>
    </row>
    <row r="85">
      <c r="A85" s="41">
        <v>83.0</v>
      </c>
      <c r="B85" s="68" t="s">
        <v>126</v>
      </c>
      <c r="C85" s="144"/>
      <c r="D85" s="144"/>
      <c r="E85" s="144"/>
      <c r="F85" s="144"/>
      <c r="G85" s="144"/>
      <c r="H85" s="144"/>
      <c r="I85" s="144"/>
      <c r="J85" s="161"/>
      <c r="K85" s="161"/>
      <c r="L85" s="161"/>
      <c r="M85" s="42">
        <v>5.0</v>
      </c>
      <c r="N85" s="104"/>
      <c r="O85" s="104"/>
      <c r="P85" s="99"/>
      <c r="Q85" s="42"/>
      <c r="R85" s="42"/>
      <c r="S85" s="42"/>
      <c r="T85" s="39"/>
      <c r="U85" s="39"/>
      <c r="V85" s="39"/>
      <c r="W85" s="39"/>
      <c r="X85" s="39"/>
      <c r="Y85" s="39"/>
      <c r="Z85" s="39"/>
      <c r="AA85" s="93">
        <f t="shared" si="3"/>
        <v>5</v>
      </c>
      <c r="AB85" s="139">
        <f t="shared" si="4"/>
        <v>7.142857143</v>
      </c>
      <c r="AC85" s="134">
        <f t="shared" si="5"/>
        <v>1</v>
      </c>
      <c r="AD85" s="32"/>
      <c r="AE85" s="32"/>
      <c r="AF85" s="32"/>
    </row>
    <row r="86">
      <c r="A86" s="41">
        <v>84.0</v>
      </c>
      <c r="B86" s="68" t="s">
        <v>127</v>
      </c>
      <c r="C86" s="144"/>
      <c r="D86" s="144"/>
      <c r="E86" s="144"/>
      <c r="F86" s="144"/>
      <c r="G86" s="144"/>
      <c r="H86" s="144"/>
      <c r="I86" s="144"/>
      <c r="J86" s="161"/>
      <c r="K86" s="161"/>
      <c r="L86" s="161"/>
      <c r="M86" s="42">
        <v>5.0</v>
      </c>
      <c r="N86" s="104"/>
      <c r="O86" s="104"/>
      <c r="P86" s="99"/>
      <c r="Q86" s="42"/>
      <c r="R86" s="42"/>
      <c r="S86" s="42"/>
      <c r="T86" s="39"/>
      <c r="U86" s="39"/>
      <c r="V86" s="39"/>
      <c r="W86" s="39"/>
      <c r="X86" s="39"/>
      <c r="Y86" s="39"/>
      <c r="Z86" s="39"/>
      <c r="AA86" s="93">
        <f t="shared" si="3"/>
        <v>5</v>
      </c>
      <c r="AB86" s="139">
        <f t="shared" si="4"/>
        <v>7.142857143</v>
      </c>
      <c r="AC86" s="134">
        <f t="shared" si="5"/>
        <v>1</v>
      </c>
      <c r="AD86" s="32"/>
      <c r="AE86" s="32"/>
      <c r="AF86" s="32"/>
    </row>
    <row r="87">
      <c r="A87" s="41">
        <v>85.0</v>
      </c>
      <c r="B87" s="68" t="s">
        <v>128</v>
      </c>
      <c r="C87" s="144"/>
      <c r="D87" s="144"/>
      <c r="E87" s="144"/>
      <c r="F87" s="144"/>
      <c r="G87" s="144"/>
      <c r="H87" s="144"/>
      <c r="I87" s="144"/>
      <c r="J87" s="161"/>
      <c r="K87" s="161"/>
      <c r="L87" s="161"/>
      <c r="M87" s="42">
        <v>5.0</v>
      </c>
      <c r="N87" s="104"/>
      <c r="O87" s="104"/>
      <c r="P87" s="99">
        <v>5.0</v>
      </c>
      <c r="Q87" s="42">
        <v>5.0</v>
      </c>
      <c r="R87" s="42">
        <v>10.0</v>
      </c>
      <c r="S87" s="42"/>
      <c r="T87" s="39">
        <v>5.0</v>
      </c>
      <c r="U87" s="39">
        <v>5.0</v>
      </c>
      <c r="V87" s="39">
        <v>5.0</v>
      </c>
      <c r="W87" s="39"/>
      <c r="X87" s="39"/>
      <c r="Y87" s="39"/>
      <c r="Z87" s="39">
        <v>5.0</v>
      </c>
      <c r="AA87" s="93">
        <f t="shared" si="3"/>
        <v>45</v>
      </c>
      <c r="AB87" s="139">
        <f t="shared" si="4"/>
        <v>64.28571429</v>
      </c>
      <c r="AC87" s="134">
        <f t="shared" si="5"/>
        <v>8</v>
      </c>
      <c r="AD87" s="32"/>
      <c r="AE87" s="32"/>
      <c r="AF87" s="32"/>
    </row>
    <row r="88">
      <c r="A88" s="41">
        <v>86.0</v>
      </c>
      <c r="B88" s="68" t="s">
        <v>129</v>
      </c>
      <c r="C88" s="144"/>
      <c r="D88" s="144"/>
      <c r="E88" s="144"/>
      <c r="F88" s="144"/>
      <c r="G88" s="144"/>
      <c r="H88" s="144"/>
      <c r="I88" s="144"/>
      <c r="J88" s="161"/>
      <c r="K88" s="161"/>
      <c r="L88" s="161"/>
      <c r="M88" s="42">
        <v>5.0</v>
      </c>
      <c r="N88" s="104"/>
      <c r="O88" s="104"/>
      <c r="P88" s="99"/>
      <c r="Q88" s="42"/>
      <c r="R88" s="42"/>
      <c r="S88" s="42"/>
      <c r="T88" s="39"/>
      <c r="U88" s="39"/>
      <c r="V88" s="39"/>
      <c r="W88" s="39"/>
      <c r="X88" s="39"/>
      <c r="Y88" s="39"/>
      <c r="Z88" s="39">
        <v>5.0</v>
      </c>
      <c r="AA88" s="93">
        <f t="shared" si="3"/>
        <v>10</v>
      </c>
      <c r="AB88" s="139">
        <f t="shared" si="4"/>
        <v>14.28571429</v>
      </c>
      <c r="AC88" s="134">
        <f t="shared" si="5"/>
        <v>2</v>
      </c>
      <c r="AD88" s="32"/>
      <c r="AE88" s="32"/>
      <c r="AF88" s="32"/>
    </row>
    <row r="89">
      <c r="A89" s="41">
        <v>87.0</v>
      </c>
      <c r="B89" s="68" t="s">
        <v>130</v>
      </c>
      <c r="C89" s="144"/>
      <c r="D89" s="144"/>
      <c r="E89" s="144"/>
      <c r="F89" s="144"/>
      <c r="G89" s="144"/>
      <c r="H89" s="144"/>
      <c r="I89" s="144"/>
      <c r="J89" s="161"/>
      <c r="K89" s="161"/>
      <c r="L89" s="161"/>
      <c r="M89" s="42">
        <v>5.0</v>
      </c>
      <c r="N89" s="104"/>
      <c r="O89" s="104"/>
      <c r="P89" s="99"/>
      <c r="Q89" s="42"/>
      <c r="R89" s="42"/>
      <c r="S89" s="42"/>
      <c r="T89" s="39"/>
      <c r="U89" s="39"/>
      <c r="V89" s="39"/>
      <c r="W89" s="39"/>
      <c r="X89" s="39"/>
      <c r="Y89" s="39"/>
      <c r="Z89" s="39"/>
      <c r="AA89" s="93">
        <f t="shared" si="3"/>
        <v>5</v>
      </c>
      <c r="AB89" s="139">
        <f t="shared" si="4"/>
        <v>7.142857143</v>
      </c>
      <c r="AC89" s="134">
        <f t="shared" si="5"/>
        <v>1</v>
      </c>
      <c r="AD89" s="32"/>
      <c r="AE89" s="32"/>
      <c r="AF89" s="32"/>
    </row>
    <row r="90">
      <c r="A90" s="41">
        <v>88.0</v>
      </c>
      <c r="B90" s="68" t="s">
        <v>131</v>
      </c>
      <c r="C90" s="144"/>
      <c r="D90" s="144"/>
      <c r="E90" s="144"/>
      <c r="F90" s="144"/>
      <c r="G90" s="144"/>
      <c r="H90" s="144"/>
      <c r="I90" s="144"/>
      <c r="J90" s="161"/>
      <c r="K90" s="161"/>
      <c r="L90" s="161"/>
      <c r="M90" s="42">
        <v>5.0</v>
      </c>
      <c r="N90" s="104"/>
      <c r="O90" s="104"/>
      <c r="P90" s="99"/>
      <c r="Q90" s="42"/>
      <c r="R90" s="42"/>
      <c r="S90" s="42"/>
      <c r="T90" s="39"/>
      <c r="U90" s="39"/>
      <c r="V90" s="39"/>
      <c r="W90" s="39"/>
      <c r="X90" s="39"/>
      <c r="Y90" s="39"/>
      <c r="Z90" s="39"/>
      <c r="AA90" s="93">
        <f t="shared" si="3"/>
        <v>5</v>
      </c>
      <c r="AB90" s="139">
        <f t="shared" si="4"/>
        <v>7.142857143</v>
      </c>
      <c r="AC90" s="134">
        <f t="shared" si="5"/>
        <v>1</v>
      </c>
      <c r="AD90" s="32"/>
      <c r="AE90" s="32"/>
      <c r="AF90" s="32"/>
    </row>
    <row r="91">
      <c r="A91" s="41">
        <v>89.0</v>
      </c>
      <c r="B91" s="68" t="s">
        <v>132</v>
      </c>
      <c r="C91" s="144"/>
      <c r="D91" s="144"/>
      <c r="E91" s="144"/>
      <c r="F91" s="144"/>
      <c r="G91" s="144"/>
      <c r="H91" s="144"/>
      <c r="I91" s="144"/>
      <c r="J91" s="161"/>
      <c r="K91" s="161"/>
      <c r="L91" s="161"/>
      <c r="M91" s="104"/>
      <c r="N91" s="42">
        <v>5.0</v>
      </c>
      <c r="O91" s="42"/>
      <c r="P91" s="99"/>
      <c r="Q91" s="42"/>
      <c r="R91" s="42"/>
      <c r="S91" s="42"/>
      <c r="T91" s="39"/>
      <c r="U91" s="39"/>
      <c r="V91" s="39"/>
      <c r="W91" s="39"/>
      <c r="X91" s="39"/>
      <c r="Y91" s="39"/>
      <c r="Z91" s="39"/>
      <c r="AA91" s="93">
        <f t="shared" si="3"/>
        <v>5</v>
      </c>
      <c r="AB91" s="139">
        <f t="shared" si="4"/>
        <v>7.142857143</v>
      </c>
      <c r="AC91" s="134">
        <f t="shared" si="5"/>
        <v>1</v>
      </c>
      <c r="AD91" s="32"/>
      <c r="AE91" s="32"/>
      <c r="AF91" s="32"/>
    </row>
    <row r="92">
      <c r="A92" s="41">
        <v>90.0</v>
      </c>
      <c r="B92" s="68" t="s">
        <v>133</v>
      </c>
      <c r="C92" s="144"/>
      <c r="D92" s="144"/>
      <c r="E92" s="144"/>
      <c r="F92" s="144"/>
      <c r="G92" s="144"/>
      <c r="H92" s="144"/>
      <c r="I92" s="144"/>
      <c r="J92" s="161"/>
      <c r="K92" s="161"/>
      <c r="L92" s="161"/>
      <c r="M92" s="104"/>
      <c r="N92" s="104"/>
      <c r="O92" s="42">
        <v>5.0</v>
      </c>
      <c r="P92" s="99"/>
      <c r="Q92" s="42"/>
      <c r="R92" s="42"/>
      <c r="S92" s="42"/>
      <c r="T92" s="39"/>
      <c r="U92" s="39"/>
      <c r="V92" s="39"/>
      <c r="W92" s="39"/>
      <c r="X92" s="39"/>
      <c r="Y92" s="39"/>
      <c r="Z92" s="39"/>
      <c r="AA92" s="93">
        <f t="shared" si="3"/>
        <v>5</v>
      </c>
      <c r="AB92" s="139">
        <f t="shared" si="4"/>
        <v>7.142857143</v>
      </c>
      <c r="AC92" s="134">
        <f t="shared" si="5"/>
        <v>1</v>
      </c>
      <c r="AD92" s="32"/>
      <c r="AE92" s="32"/>
      <c r="AF92" s="32"/>
    </row>
    <row r="93">
      <c r="A93" s="41">
        <v>91.0</v>
      </c>
      <c r="B93" s="68" t="s">
        <v>134</v>
      </c>
      <c r="C93" s="144"/>
      <c r="D93" s="144"/>
      <c r="E93" s="144"/>
      <c r="F93" s="144"/>
      <c r="G93" s="144"/>
      <c r="H93" s="144"/>
      <c r="I93" s="144"/>
      <c r="J93" s="161"/>
      <c r="K93" s="161"/>
      <c r="L93" s="161"/>
      <c r="M93" s="104"/>
      <c r="N93" s="104"/>
      <c r="O93" s="42">
        <v>5.0</v>
      </c>
      <c r="P93" s="99">
        <v>5.0</v>
      </c>
      <c r="Q93" s="42">
        <v>5.0</v>
      </c>
      <c r="R93" s="42"/>
      <c r="S93" s="42">
        <v>5.0</v>
      </c>
      <c r="T93" s="39"/>
      <c r="U93" s="39">
        <v>5.0</v>
      </c>
      <c r="V93" s="39"/>
      <c r="W93" s="39">
        <v>5.0</v>
      </c>
      <c r="X93" s="39"/>
      <c r="Y93" s="39"/>
      <c r="Z93" s="39"/>
      <c r="AA93" s="93">
        <f t="shared" si="3"/>
        <v>30</v>
      </c>
      <c r="AB93" s="139">
        <f t="shared" si="4"/>
        <v>42.85714286</v>
      </c>
      <c r="AC93" s="134">
        <f t="shared" si="5"/>
        <v>6</v>
      </c>
      <c r="AD93" s="32"/>
      <c r="AE93" s="32"/>
      <c r="AF93" s="32"/>
    </row>
    <row r="94">
      <c r="A94" s="39">
        <v>92.0</v>
      </c>
      <c r="B94" s="105" t="s">
        <v>135</v>
      </c>
      <c r="C94" s="144"/>
      <c r="D94" s="144"/>
      <c r="E94" s="144"/>
      <c r="F94" s="144"/>
      <c r="G94" s="144"/>
      <c r="H94" s="144"/>
      <c r="I94" s="144"/>
      <c r="J94" s="161"/>
      <c r="K94" s="161"/>
      <c r="L94" s="161"/>
      <c r="M94" s="104"/>
      <c r="N94" s="104"/>
      <c r="O94" s="104"/>
      <c r="P94" s="99">
        <v>5.0</v>
      </c>
      <c r="Q94" s="104"/>
      <c r="R94" s="104"/>
      <c r="S94" s="104"/>
      <c r="T94" s="39"/>
      <c r="U94" s="39"/>
      <c r="V94" s="39"/>
      <c r="W94" s="39"/>
      <c r="X94" s="39"/>
      <c r="Y94" s="39"/>
      <c r="Z94" s="39"/>
      <c r="AA94" s="93">
        <f t="shared" si="3"/>
        <v>5</v>
      </c>
      <c r="AB94" s="139">
        <f t="shared" si="4"/>
        <v>7.142857143</v>
      </c>
      <c r="AC94" s="134">
        <f t="shared" si="5"/>
        <v>1</v>
      </c>
      <c r="AD94" s="32"/>
      <c r="AE94" s="32"/>
      <c r="AF94" s="32"/>
    </row>
    <row r="95">
      <c r="A95" s="39">
        <v>93.0</v>
      </c>
      <c r="B95" s="106" t="s">
        <v>136</v>
      </c>
      <c r="C95" s="144"/>
      <c r="D95" s="144"/>
      <c r="E95" s="144"/>
      <c r="F95" s="144"/>
      <c r="G95" s="144"/>
      <c r="H95" s="144"/>
      <c r="I95" s="144"/>
      <c r="J95" s="161"/>
      <c r="K95" s="161"/>
      <c r="L95" s="161"/>
      <c r="M95" s="104"/>
      <c r="N95" s="104"/>
      <c r="O95" s="104"/>
      <c r="P95" s="99">
        <v>5.0</v>
      </c>
      <c r="Q95" s="104"/>
      <c r="R95" s="104"/>
      <c r="S95" s="104"/>
      <c r="T95" s="39"/>
      <c r="U95" s="39"/>
      <c r="V95" s="39"/>
      <c r="W95" s="39"/>
      <c r="X95" s="39"/>
      <c r="Y95" s="39"/>
      <c r="Z95" s="39"/>
      <c r="AA95" s="93">
        <f t="shared" si="3"/>
        <v>5</v>
      </c>
      <c r="AB95" s="139">
        <f t="shared" si="4"/>
        <v>7.142857143</v>
      </c>
      <c r="AC95" s="134">
        <f t="shared" si="5"/>
        <v>1</v>
      </c>
      <c r="AD95" s="32"/>
      <c r="AE95" s="32"/>
      <c r="AF95" s="32"/>
    </row>
    <row r="96">
      <c r="A96" s="39">
        <v>94.0</v>
      </c>
      <c r="B96" s="107" t="s">
        <v>137</v>
      </c>
      <c r="C96" s="144"/>
      <c r="D96" s="144"/>
      <c r="E96" s="144"/>
      <c r="F96" s="144"/>
      <c r="G96" s="144"/>
      <c r="H96" s="144"/>
      <c r="I96" s="144"/>
      <c r="J96" s="161"/>
      <c r="K96" s="161"/>
      <c r="L96" s="161"/>
      <c r="M96" s="104"/>
      <c r="N96" s="104"/>
      <c r="O96" s="104"/>
      <c r="P96" s="99">
        <v>5.0</v>
      </c>
      <c r="Q96" s="104"/>
      <c r="R96" s="104"/>
      <c r="S96" s="104"/>
      <c r="T96" s="39"/>
      <c r="U96" s="39"/>
      <c r="V96" s="39"/>
      <c r="W96" s="39"/>
      <c r="X96" s="39"/>
      <c r="Y96" s="39"/>
      <c r="Z96" s="39"/>
      <c r="AA96" s="93">
        <f t="shared" si="3"/>
        <v>5</v>
      </c>
      <c r="AB96" s="139">
        <f t="shared" si="4"/>
        <v>7.142857143</v>
      </c>
      <c r="AC96" s="134">
        <f t="shared" si="5"/>
        <v>1</v>
      </c>
      <c r="AD96" s="32"/>
      <c r="AE96" s="32"/>
      <c r="AF96" s="32"/>
    </row>
    <row r="97">
      <c r="A97" s="39">
        <v>95.0</v>
      </c>
      <c r="B97" s="106" t="s">
        <v>138</v>
      </c>
      <c r="C97" s="144"/>
      <c r="D97" s="144"/>
      <c r="E97" s="144"/>
      <c r="F97" s="144"/>
      <c r="G97" s="144"/>
      <c r="H97" s="144"/>
      <c r="I97" s="144"/>
      <c r="J97" s="161"/>
      <c r="K97" s="161"/>
      <c r="L97" s="161"/>
      <c r="M97" s="104"/>
      <c r="N97" s="104"/>
      <c r="O97" s="104"/>
      <c r="P97" s="99">
        <v>5.0</v>
      </c>
      <c r="Q97" s="104"/>
      <c r="R97" s="104"/>
      <c r="S97" s="104"/>
      <c r="T97" s="39"/>
      <c r="U97" s="39"/>
      <c r="V97" s="39"/>
      <c r="W97" s="39"/>
      <c r="X97" s="39"/>
      <c r="Y97" s="39"/>
      <c r="Z97" s="39"/>
      <c r="AA97" s="93">
        <f t="shared" si="3"/>
        <v>5</v>
      </c>
      <c r="AB97" s="139">
        <f t="shared" si="4"/>
        <v>7.142857143</v>
      </c>
      <c r="AC97" s="134">
        <f t="shared" si="5"/>
        <v>1</v>
      </c>
      <c r="AD97" s="32"/>
      <c r="AE97" s="32"/>
      <c r="AF97" s="32"/>
    </row>
    <row r="98">
      <c r="A98" s="39">
        <v>96.0</v>
      </c>
      <c r="B98" s="107" t="s">
        <v>139</v>
      </c>
      <c r="C98" s="144"/>
      <c r="D98" s="144"/>
      <c r="E98" s="144"/>
      <c r="F98" s="144"/>
      <c r="G98" s="144"/>
      <c r="H98" s="144"/>
      <c r="I98" s="144"/>
      <c r="J98" s="161"/>
      <c r="K98" s="161"/>
      <c r="L98" s="161"/>
      <c r="M98" s="104"/>
      <c r="N98" s="104"/>
      <c r="O98" s="104"/>
      <c r="P98" s="99">
        <v>5.0</v>
      </c>
      <c r="Q98" s="104"/>
      <c r="R98" s="104"/>
      <c r="S98" s="104"/>
      <c r="T98" s="39"/>
      <c r="U98" s="39"/>
      <c r="V98" s="39"/>
      <c r="W98" s="39"/>
      <c r="X98" s="39"/>
      <c r="Y98" s="39"/>
      <c r="Z98" s="39"/>
      <c r="AA98" s="93">
        <f t="shared" si="3"/>
        <v>5</v>
      </c>
      <c r="AB98" s="139">
        <f t="shared" si="4"/>
        <v>7.142857143</v>
      </c>
      <c r="AC98" s="134">
        <f t="shared" si="5"/>
        <v>1</v>
      </c>
      <c r="AD98" s="32"/>
      <c r="AE98" s="32"/>
      <c r="AF98" s="32"/>
    </row>
    <row r="99">
      <c r="A99" s="39">
        <v>97.0</v>
      </c>
      <c r="B99" s="106" t="s">
        <v>140</v>
      </c>
      <c r="C99" s="144"/>
      <c r="D99" s="144"/>
      <c r="E99" s="144"/>
      <c r="F99" s="144"/>
      <c r="G99" s="144"/>
      <c r="H99" s="144"/>
      <c r="I99" s="144"/>
      <c r="J99" s="161"/>
      <c r="K99" s="161"/>
      <c r="L99" s="161"/>
      <c r="M99" s="104"/>
      <c r="N99" s="104"/>
      <c r="O99" s="104"/>
      <c r="P99" s="99">
        <v>5.0</v>
      </c>
      <c r="Q99" s="104"/>
      <c r="R99" s="104"/>
      <c r="S99" s="104"/>
      <c r="T99" s="39"/>
      <c r="U99" s="39"/>
      <c r="V99" s="39"/>
      <c r="W99" s="39"/>
      <c r="X99" s="39"/>
      <c r="Y99" s="39"/>
      <c r="Z99" s="39"/>
      <c r="AA99" s="93">
        <f t="shared" si="3"/>
        <v>5</v>
      </c>
      <c r="AB99" s="139">
        <f t="shared" si="4"/>
        <v>7.142857143</v>
      </c>
      <c r="AC99" s="134">
        <f t="shared" si="5"/>
        <v>1</v>
      </c>
      <c r="AD99" s="32"/>
      <c r="AE99" s="32"/>
      <c r="AF99" s="32"/>
    </row>
    <row r="100">
      <c r="A100" s="39">
        <v>98.0</v>
      </c>
      <c r="B100" s="108" t="s">
        <v>141</v>
      </c>
      <c r="C100" s="144"/>
      <c r="D100" s="144"/>
      <c r="E100" s="144"/>
      <c r="F100" s="144"/>
      <c r="G100" s="144"/>
      <c r="H100" s="144"/>
      <c r="I100" s="144"/>
      <c r="J100" s="161"/>
      <c r="K100" s="161"/>
      <c r="L100" s="161"/>
      <c r="M100" s="104"/>
      <c r="N100" s="104"/>
      <c r="O100" s="104"/>
      <c r="P100" s="99">
        <v>5.0</v>
      </c>
      <c r="Q100" s="104"/>
      <c r="R100" s="104"/>
      <c r="S100" s="104"/>
      <c r="T100" s="39"/>
      <c r="U100" s="39"/>
      <c r="V100" s="39"/>
      <c r="W100" s="39"/>
      <c r="X100" s="39"/>
      <c r="Y100" s="39"/>
      <c r="Z100" s="39"/>
      <c r="AA100" s="93">
        <f t="shared" si="3"/>
        <v>5</v>
      </c>
      <c r="AB100" s="139">
        <f t="shared" si="4"/>
        <v>7.142857143</v>
      </c>
      <c r="AC100" s="134">
        <f t="shared" si="5"/>
        <v>1</v>
      </c>
      <c r="AD100" s="32"/>
      <c r="AE100" s="32"/>
      <c r="AF100" s="32"/>
    </row>
    <row r="101">
      <c r="A101" s="39">
        <v>99.0</v>
      </c>
      <c r="B101" s="107" t="s">
        <v>142</v>
      </c>
      <c r="C101" s="144"/>
      <c r="D101" s="144"/>
      <c r="E101" s="144"/>
      <c r="F101" s="144"/>
      <c r="G101" s="144"/>
      <c r="H101" s="144"/>
      <c r="I101" s="144"/>
      <c r="J101" s="161"/>
      <c r="K101" s="161"/>
      <c r="L101" s="161"/>
      <c r="M101" s="104"/>
      <c r="N101" s="104"/>
      <c r="O101" s="104"/>
      <c r="P101" s="99">
        <v>5.0</v>
      </c>
      <c r="Q101" s="42">
        <v>5.0</v>
      </c>
      <c r="R101" s="104"/>
      <c r="S101" s="42">
        <v>5.0</v>
      </c>
      <c r="T101" s="39"/>
      <c r="U101" s="39">
        <v>5.0</v>
      </c>
      <c r="V101" s="39"/>
      <c r="W101" s="39"/>
      <c r="X101" s="39">
        <v>5.0</v>
      </c>
      <c r="Y101" s="39"/>
      <c r="Z101" s="39"/>
      <c r="AA101" s="93">
        <f t="shared" si="3"/>
        <v>25</v>
      </c>
      <c r="AB101" s="139">
        <f t="shared" si="4"/>
        <v>35.71428571</v>
      </c>
      <c r="AC101" s="134">
        <f t="shared" si="5"/>
        <v>5</v>
      </c>
      <c r="AD101" s="32"/>
      <c r="AE101" s="32"/>
      <c r="AF101" s="32"/>
    </row>
    <row r="102">
      <c r="A102" s="39">
        <v>100.0</v>
      </c>
      <c r="B102" s="106" t="s">
        <v>143</v>
      </c>
      <c r="C102" s="144"/>
      <c r="D102" s="144"/>
      <c r="E102" s="144"/>
      <c r="F102" s="144"/>
      <c r="G102" s="144"/>
      <c r="H102" s="144"/>
      <c r="I102" s="144"/>
      <c r="J102" s="161"/>
      <c r="K102" s="161"/>
      <c r="L102" s="161"/>
      <c r="M102" s="104"/>
      <c r="N102" s="104"/>
      <c r="O102" s="104"/>
      <c r="P102" s="99">
        <v>5.0</v>
      </c>
      <c r="Q102" s="104"/>
      <c r="R102" s="104"/>
      <c r="S102" s="104"/>
      <c r="T102" s="39"/>
      <c r="U102" s="39"/>
      <c r="V102" s="39"/>
      <c r="W102" s="39"/>
      <c r="X102" s="39"/>
      <c r="Y102" s="39"/>
      <c r="Z102" s="39"/>
      <c r="AA102" s="93">
        <f t="shared" si="3"/>
        <v>5</v>
      </c>
      <c r="AB102" s="139">
        <f t="shared" si="4"/>
        <v>7.142857143</v>
      </c>
      <c r="AC102" s="134">
        <f t="shared" si="5"/>
        <v>1</v>
      </c>
      <c r="AD102" s="32"/>
      <c r="AE102" s="32"/>
      <c r="AF102" s="32"/>
    </row>
    <row r="103">
      <c r="A103" s="39">
        <v>101.0</v>
      </c>
      <c r="B103" s="107" t="s">
        <v>65</v>
      </c>
      <c r="C103" s="144"/>
      <c r="D103" s="144"/>
      <c r="E103" s="144"/>
      <c r="F103" s="144"/>
      <c r="G103" s="144"/>
      <c r="H103" s="144"/>
      <c r="I103" s="144"/>
      <c r="J103" s="161"/>
      <c r="K103" s="161"/>
      <c r="L103" s="161"/>
      <c r="M103" s="104"/>
      <c r="N103" s="104"/>
      <c r="O103" s="104"/>
      <c r="P103" s="99">
        <v>5.0</v>
      </c>
      <c r="Q103" s="104"/>
      <c r="R103" s="104"/>
      <c r="S103" s="104"/>
      <c r="T103" s="39"/>
      <c r="U103" s="39"/>
      <c r="V103" s="39"/>
      <c r="W103" s="39"/>
      <c r="X103" s="39"/>
      <c r="Y103" s="39"/>
      <c r="Z103" s="39"/>
      <c r="AA103" s="93">
        <f t="shared" si="3"/>
        <v>5</v>
      </c>
      <c r="AB103" s="139">
        <f t="shared" si="4"/>
        <v>7.142857143</v>
      </c>
      <c r="AC103" s="134">
        <f t="shared" si="5"/>
        <v>1</v>
      </c>
      <c r="AD103" s="32"/>
      <c r="AE103" s="32"/>
      <c r="AF103" s="32"/>
    </row>
    <row r="104">
      <c r="A104" s="39">
        <v>102.0</v>
      </c>
      <c r="B104" s="106" t="s">
        <v>144</v>
      </c>
      <c r="C104" s="144"/>
      <c r="D104" s="144"/>
      <c r="E104" s="144"/>
      <c r="F104" s="144"/>
      <c r="G104" s="144"/>
      <c r="H104" s="144"/>
      <c r="I104" s="144"/>
      <c r="J104" s="161"/>
      <c r="K104" s="161"/>
      <c r="L104" s="161"/>
      <c r="M104" s="104"/>
      <c r="N104" s="104"/>
      <c r="O104" s="104"/>
      <c r="P104" s="99">
        <v>5.0</v>
      </c>
      <c r="Q104" s="104"/>
      <c r="R104" s="104"/>
      <c r="S104" s="104"/>
      <c r="T104" s="39"/>
      <c r="U104" s="39"/>
      <c r="V104" s="39"/>
      <c r="W104" s="39"/>
      <c r="X104" s="39"/>
      <c r="Y104" s="39"/>
      <c r="Z104" s="39"/>
      <c r="AA104" s="93">
        <f t="shared" si="3"/>
        <v>5</v>
      </c>
      <c r="AB104" s="139">
        <f t="shared" si="4"/>
        <v>7.142857143</v>
      </c>
      <c r="AC104" s="134">
        <f t="shared" si="5"/>
        <v>1</v>
      </c>
      <c r="AD104" s="32"/>
      <c r="AE104" s="32"/>
      <c r="AF104" s="32"/>
    </row>
    <row r="105">
      <c r="A105" s="39">
        <v>103.0</v>
      </c>
      <c r="B105" s="107" t="s">
        <v>178</v>
      </c>
      <c r="C105" s="144"/>
      <c r="D105" s="144"/>
      <c r="E105" s="144"/>
      <c r="F105" s="144"/>
      <c r="G105" s="144"/>
      <c r="H105" s="144"/>
      <c r="I105" s="144"/>
      <c r="J105" s="161"/>
      <c r="K105" s="161"/>
      <c r="L105" s="161"/>
      <c r="M105" s="104"/>
      <c r="N105" s="104"/>
      <c r="O105" s="104"/>
      <c r="P105" s="99">
        <v>5.0</v>
      </c>
      <c r="Q105" s="104"/>
      <c r="R105" s="104"/>
      <c r="S105" s="104"/>
      <c r="T105" s="39"/>
      <c r="U105" s="39"/>
      <c r="V105" s="39"/>
      <c r="W105" s="39"/>
      <c r="X105" s="39"/>
      <c r="Y105" s="39"/>
      <c r="Z105" s="39"/>
      <c r="AA105" s="93">
        <f t="shared" si="3"/>
        <v>5</v>
      </c>
      <c r="AB105" s="139">
        <f t="shared" si="4"/>
        <v>7.142857143</v>
      </c>
      <c r="AC105" s="134">
        <f t="shared" si="5"/>
        <v>1</v>
      </c>
      <c r="AD105" s="32"/>
      <c r="AE105" s="32"/>
      <c r="AF105" s="32"/>
    </row>
    <row r="106">
      <c r="A106" s="39">
        <v>104.0</v>
      </c>
      <c r="B106" s="106" t="s">
        <v>146</v>
      </c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10"/>
      <c r="N106" s="110"/>
      <c r="O106" s="110"/>
      <c r="P106" s="111">
        <v>5.0</v>
      </c>
      <c r="Q106" s="110"/>
      <c r="R106" s="112"/>
      <c r="S106" s="110"/>
      <c r="T106" s="39"/>
      <c r="U106" s="39"/>
      <c r="V106" s="39"/>
      <c r="W106" s="39"/>
      <c r="X106" s="39"/>
      <c r="Y106" s="39"/>
      <c r="Z106" s="39"/>
      <c r="AA106" s="93">
        <f t="shared" si="3"/>
        <v>5</v>
      </c>
      <c r="AB106" s="139">
        <f t="shared" si="4"/>
        <v>7.142857143</v>
      </c>
      <c r="AC106" s="134">
        <f t="shared" si="5"/>
        <v>1</v>
      </c>
    </row>
    <row r="107">
      <c r="A107" s="39">
        <v>105.0</v>
      </c>
      <c r="B107" s="107" t="s">
        <v>147</v>
      </c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10"/>
      <c r="N107" s="110"/>
      <c r="O107" s="110"/>
      <c r="P107" s="111">
        <v>5.0</v>
      </c>
      <c r="Q107" s="110"/>
      <c r="R107" s="112"/>
      <c r="S107" s="110"/>
      <c r="T107" s="39"/>
      <c r="U107" s="39"/>
      <c r="V107" s="39"/>
      <c r="W107" s="39"/>
      <c r="X107" s="39"/>
      <c r="Y107" s="39"/>
      <c r="Z107" s="39"/>
      <c r="AA107" s="93">
        <f t="shared" si="3"/>
        <v>5</v>
      </c>
      <c r="AB107" s="139">
        <f t="shared" si="4"/>
        <v>7.142857143</v>
      </c>
      <c r="AC107" s="134">
        <f t="shared" si="5"/>
        <v>1</v>
      </c>
    </row>
    <row r="108">
      <c r="A108" s="39">
        <v>106.0</v>
      </c>
      <c r="B108" s="106" t="s">
        <v>148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10"/>
      <c r="N108" s="110"/>
      <c r="O108" s="110"/>
      <c r="P108" s="111">
        <v>5.0</v>
      </c>
      <c r="Q108" s="110"/>
      <c r="R108" s="112"/>
      <c r="S108" s="110"/>
      <c r="T108" s="39"/>
      <c r="U108" s="39"/>
      <c r="V108" s="39"/>
      <c r="W108" s="39"/>
      <c r="X108" s="39"/>
      <c r="Y108" s="39"/>
      <c r="Z108" s="39"/>
      <c r="AA108" s="93">
        <f t="shared" si="3"/>
        <v>5</v>
      </c>
      <c r="AB108" s="139">
        <f t="shared" si="4"/>
        <v>7.142857143</v>
      </c>
      <c r="AC108" s="134">
        <f t="shared" si="5"/>
        <v>1</v>
      </c>
    </row>
    <row r="109">
      <c r="A109" s="39">
        <v>107.0</v>
      </c>
      <c r="B109" s="107" t="s">
        <v>149</v>
      </c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10"/>
      <c r="N109" s="110"/>
      <c r="O109" s="110"/>
      <c r="P109" s="111">
        <v>5.0</v>
      </c>
      <c r="Q109" s="110"/>
      <c r="R109" s="112"/>
      <c r="S109" s="110"/>
      <c r="T109" s="39"/>
      <c r="U109" s="39"/>
      <c r="V109" s="39"/>
      <c r="W109" s="39"/>
      <c r="X109" s="39"/>
      <c r="Y109" s="39"/>
      <c r="Z109" s="39"/>
      <c r="AA109" s="93">
        <f t="shared" si="3"/>
        <v>5</v>
      </c>
      <c r="AB109" s="139">
        <f t="shared" si="4"/>
        <v>7.142857143</v>
      </c>
      <c r="AC109" s="134">
        <f t="shared" si="5"/>
        <v>1</v>
      </c>
    </row>
    <row r="110">
      <c r="A110" s="39">
        <v>108.0</v>
      </c>
      <c r="B110" s="106" t="s">
        <v>150</v>
      </c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10"/>
      <c r="N110" s="110"/>
      <c r="O110" s="110"/>
      <c r="P110" s="113"/>
      <c r="Q110" s="114">
        <v>5.0</v>
      </c>
      <c r="R110" s="112"/>
      <c r="S110" s="114">
        <v>5.0</v>
      </c>
      <c r="T110" s="39">
        <v>5.0</v>
      </c>
      <c r="U110" s="39"/>
      <c r="V110" s="39"/>
      <c r="W110" s="39"/>
      <c r="X110" s="39">
        <v>5.0</v>
      </c>
      <c r="Y110" s="39"/>
      <c r="Z110" s="39"/>
      <c r="AA110" s="93">
        <f t="shared" si="3"/>
        <v>20</v>
      </c>
      <c r="AB110" s="139">
        <f t="shared" si="4"/>
        <v>28.57142857</v>
      </c>
      <c r="AC110" s="134">
        <f t="shared" si="5"/>
        <v>4</v>
      </c>
    </row>
    <row r="111">
      <c r="A111" s="39">
        <v>109.0</v>
      </c>
      <c r="B111" s="108" t="s">
        <v>151</v>
      </c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10"/>
      <c r="N111" s="110"/>
      <c r="O111" s="110"/>
      <c r="P111" s="113"/>
      <c r="Q111" s="110"/>
      <c r="R111" s="115">
        <v>10.0</v>
      </c>
      <c r="S111" s="110"/>
      <c r="T111" s="39"/>
      <c r="U111" s="39"/>
      <c r="V111" s="39"/>
      <c r="W111" s="39"/>
      <c r="X111" s="39"/>
      <c r="Y111" s="39"/>
      <c r="Z111" s="39"/>
      <c r="AA111" s="93">
        <f t="shared" si="3"/>
        <v>10</v>
      </c>
      <c r="AB111" s="139">
        <f t="shared" si="4"/>
        <v>14.28571429</v>
      </c>
      <c r="AC111" s="134">
        <f t="shared" si="5"/>
        <v>1</v>
      </c>
    </row>
    <row r="112">
      <c r="A112" s="39">
        <v>110.0</v>
      </c>
      <c r="B112" s="107" t="s">
        <v>152</v>
      </c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10"/>
      <c r="N112" s="110"/>
      <c r="O112" s="110"/>
      <c r="P112" s="113"/>
      <c r="Q112" s="110"/>
      <c r="R112" s="112"/>
      <c r="S112" s="114">
        <v>5.0</v>
      </c>
      <c r="T112" s="39"/>
      <c r="U112" s="39"/>
      <c r="V112" s="39"/>
      <c r="W112" s="39"/>
      <c r="X112" s="39"/>
      <c r="Y112" s="39"/>
      <c r="Z112" s="39"/>
      <c r="AA112" s="93">
        <f t="shared" si="3"/>
        <v>5</v>
      </c>
      <c r="AB112" s="139">
        <f t="shared" si="4"/>
        <v>7.142857143</v>
      </c>
      <c r="AC112" s="134">
        <f t="shared" si="5"/>
        <v>1</v>
      </c>
    </row>
    <row r="113">
      <c r="A113" s="39">
        <v>111.0</v>
      </c>
      <c r="B113" s="106" t="s">
        <v>153</v>
      </c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10"/>
      <c r="N113" s="110"/>
      <c r="O113" s="110"/>
      <c r="P113" s="113"/>
      <c r="Q113" s="110"/>
      <c r="R113" s="112"/>
      <c r="S113" s="114">
        <v>5.0</v>
      </c>
      <c r="T113" s="39"/>
      <c r="U113" s="39"/>
      <c r="V113" s="39"/>
      <c r="W113" s="39">
        <v>5.0</v>
      </c>
      <c r="X113" s="39"/>
      <c r="Y113" s="39"/>
      <c r="Z113" s="39"/>
      <c r="AA113" s="93">
        <f t="shared" si="3"/>
        <v>10</v>
      </c>
      <c r="AB113" s="139">
        <f t="shared" si="4"/>
        <v>14.28571429</v>
      </c>
      <c r="AC113" s="134">
        <f t="shared" si="5"/>
        <v>2</v>
      </c>
    </row>
    <row r="114">
      <c r="A114" s="39">
        <v>112.0</v>
      </c>
      <c r="B114" s="107" t="s">
        <v>154</v>
      </c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10"/>
      <c r="N114" s="110"/>
      <c r="O114" s="110"/>
      <c r="P114" s="113"/>
      <c r="Q114" s="110"/>
      <c r="R114" s="112"/>
      <c r="S114" s="114">
        <v>5.0</v>
      </c>
      <c r="T114" s="39"/>
      <c r="U114" s="39"/>
      <c r="V114" s="39"/>
      <c r="W114" s="39"/>
      <c r="X114" s="39"/>
      <c r="Y114" s="39"/>
      <c r="Z114" s="39"/>
      <c r="AA114" s="93">
        <f t="shared" si="3"/>
        <v>5</v>
      </c>
      <c r="AB114" s="139">
        <f t="shared" si="4"/>
        <v>7.142857143</v>
      </c>
      <c r="AC114" s="134">
        <f t="shared" si="5"/>
        <v>1</v>
      </c>
    </row>
    <row r="115">
      <c r="A115" s="39">
        <v>113.0</v>
      </c>
      <c r="B115" s="108" t="s">
        <v>155</v>
      </c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10"/>
      <c r="N115" s="110"/>
      <c r="O115" s="110"/>
      <c r="P115" s="113"/>
      <c r="Q115" s="110"/>
      <c r="R115" s="112"/>
      <c r="S115" s="110"/>
      <c r="T115" s="114">
        <v>5.0</v>
      </c>
      <c r="U115" s="110"/>
      <c r="V115" s="114"/>
      <c r="W115" s="39"/>
      <c r="X115" s="39"/>
      <c r="Y115" s="39"/>
      <c r="Z115" s="39"/>
      <c r="AA115" s="93">
        <f t="shared" si="3"/>
        <v>5</v>
      </c>
      <c r="AB115" s="139">
        <f t="shared" si="4"/>
        <v>7.142857143</v>
      </c>
      <c r="AC115" s="134">
        <f t="shared" si="5"/>
        <v>1</v>
      </c>
    </row>
    <row r="116">
      <c r="A116" s="39">
        <v>114.0</v>
      </c>
      <c r="B116" s="108" t="s">
        <v>156</v>
      </c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10"/>
      <c r="N116" s="110"/>
      <c r="O116" s="110"/>
      <c r="P116" s="113"/>
      <c r="Q116" s="110"/>
      <c r="R116" s="112"/>
      <c r="S116" s="110"/>
      <c r="T116" s="114">
        <v>5.0</v>
      </c>
      <c r="U116" s="110"/>
      <c r="V116" s="114">
        <v>5.0</v>
      </c>
      <c r="W116" s="39"/>
      <c r="X116" s="39"/>
      <c r="Y116" s="39"/>
      <c r="Z116" s="39"/>
      <c r="AA116" s="93">
        <f t="shared" si="3"/>
        <v>10</v>
      </c>
      <c r="AB116" s="139">
        <f t="shared" si="4"/>
        <v>14.28571429</v>
      </c>
      <c r="AC116" s="134">
        <f t="shared" si="5"/>
        <v>2</v>
      </c>
    </row>
    <row r="117">
      <c r="A117" s="39">
        <v>115.0</v>
      </c>
      <c r="B117" s="108" t="s">
        <v>157</v>
      </c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10"/>
      <c r="N117" s="110"/>
      <c r="O117" s="110"/>
      <c r="P117" s="113"/>
      <c r="Q117" s="110"/>
      <c r="R117" s="112"/>
      <c r="S117" s="110"/>
      <c r="T117" s="114">
        <v>5.0</v>
      </c>
      <c r="U117" s="110"/>
      <c r="V117" s="110"/>
      <c r="W117" s="39"/>
      <c r="X117" s="39"/>
      <c r="Y117" s="39"/>
      <c r="Z117" s="39"/>
      <c r="AA117" s="93">
        <f t="shared" si="3"/>
        <v>5</v>
      </c>
      <c r="AB117" s="139">
        <f t="shared" si="4"/>
        <v>7.142857143</v>
      </c>
      <c r="AC117" s="134">
        <f t="shared" si="5"/>
        <v>1</v>
      </c>
    </row>
    <row r="118">
      <c r="A118" s="39">
        <v>116.0</v>
      </c>
      <c r="B118" s="108" t="s">
        <v>158</v>
      </c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10"/>
      <c r="N118" s="110"/>
      <c r="O118" s="110"/>
      <c r="P118" s="113"/>
      <c r="Q118" s="110"/>
      <c r="R118" s="112"/>
      <c r="S118" s="110"/>
      <c r="T118" s="114">
        <v>5.0</v>
      </c>
      <c r="U118" s="110"/>
      <c r="V118" s="110"/>
      <c r="W118" s="39"/>
      <c r="X118" s="39"/>
      <c r="Y118" s="39"/>
      <c r="Z118" s="39"/>
      <c r="AA118" s="93">
        <f t="shared" si="3"/>
        <v>5</v>
      </c>
      <c r="AB118" s="139">
        <f t="shared" si="4"/>
        <v>7.142857143</v>
      </c>
      <c r="AC118" s="134">
        <f t="shared" si="5"/>
        <v>1</v>
      </c>
    </row>
    <row r="119">
      <c r="A119" s="39">
        <v>117.0</v>
      </c>
      <c r="B119" s="108" t="s">
        <v>159</v>
      </c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10"/>
      <c r="N119" s="110"/>
      <c r="O119" s="110"/>
      <c r="P119" s="113"/>
      <c r="Q119" s="110"/>
      <c r="R119" s="112"/>
      <c r="S119" s="110"/>
      <c r="T119" s="110"/>
      <c r="U119" s="114">
        <v>5.0</v>
      </c>
      <c r="V119" s="110"/>
      <c r="W119" s="39"/>
      <c r="X119" s="39"/>
      <c r="Y119" s="39"/>
      <c r="Z119" s="39"/>
      <c r="AA119" s="93">
        <f t="shared" si="3"/>
        <v>5</v>
      </c>
      <c r="AB119" s="139">
        <f t="shared" si="4"/>
        <v>7.142857143</v>
      </c>
      <c r="AC119" s="134">
        <f t="shared" si="5"/>
        <v>1</v>
      </c>
    </row>
    <row r="120">
      <c r="A120" s="39">
        <v>118.0</v>
      </c>
      <c r="B120" s="108" t="s">
        <v>160</v>
      </c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10"/>
      <c r="N120" s="110"/>
      <c r="O120" s="110"/>
      <c r="P120" s="113"/>
      <c r="Q120" s="110"/>
      <c r="R120" s="112"/>
      <c r="S120" s="110"/>
      <c r="T120" s="110"/>
      <c r="U120" s="114">
        <v>5.0</v>
      </c>
      <c r="V120" s="110"/>
      <c r="W120" s="39"/>
      <c r="X120" s="39"/>
      <c r="Y120" s="39"/>
      <c r="Z120" s="39"/>
      <c r="AA120" s="93">
        <f t="shared" si="3"/>
        <v>5</v>
      </c>
      <c r="AB120" s="139">
        <f t="shared" si="4"/>
        <v>7.142857143</v>
      </c>
      <c r="AC120" s="134">
        <f t="shared" si="5"/>
        <v>1</v>
      </c>
    </row>
    <row r="121">
      <c r="A121" s="39">
        <v>119.0</v>
      </c>
      <c r="B121" s="108" t="s">
        <v>161</v>
      </c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10"/>
      <c r="N121" s="110"/>
      <c r="O121" s="110"/>
      <c r="P121" s="113"/>
      <c r="Q121" s="110"/>
      <c r="R121" s="112"/>
      <c r="S121" s="110"/>
      <c r="T121" s="110"/>
      <c r="U121" s="114">
        <v>5.0</v>
      </c>
      <c r="V121" s="110"/>
      <c r="W121" s="39"/>
      <c r="X121" s="39"/>
      <c r="Y121" s="39"/>
      <c r="Z121" s="39"/>
      <c r="AA121" s="93">
        <f t="shared" si="3"/>
        <v>5</v>
      </c>
      <c r="AB121" s="139">
        <f t="shared" si="4"/>
        <v>7.142857143</v>
      </c>
      <c r="AC121" s="134">
        <f t="shared" si="5"/>
        <v>1</v>
      </c>
    </row>
    <row r="122">
      <c r="A122" s="39">
        <v>120.0</v>
      </c>
      <c r="B122" s="108" t="s">
        <v>162</v>
      </c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10"/>
      <c r="N122" s="110"/>
      <c r="O122" s="110"/>
      <c r="P122" s="113"/>
      <c r="Q122" s="110"/>
      <c r="R122" s="112"/>
      <c r="S122" s="110"/>
      <c r="T122" s="110"/>
      <c r="U122" s="110"/>
      <c r="V122" s="114">
        <v>5.0</v>
      </c>
      <c r="W122" s="39"/>
      <c r="X122" s="39"/>
      <c r="Y122" s="39"/>
      <c r="Z122" s="39"/>
      <c r="AA122" s="93">
        <f t="shared" si="3"/>
        <v>5</v>
      </c>
      <c r="AB122" s="139">
        <f t="shared" si="4"/>
        <v>7.142857143</v>
      </c>
      <c r="AC122" s="134">
        <f t="shared" si="5"/>
        <v>1</v>
      </c>
    </row>
    <row r="123">
      <c r="A123" s="39">
        <v>121.0</v>
      </c>
      <c r="B123" s="108" t="s">
        <v>163</v>
      </c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10"/>
      <c r="N123" s="110"/>
      <c r="O123" s="110"/>
      <c r="P123" s="113"/>
      <c r="Q123" s="110"/>
      <c r="R123" s="112"/>
      <c r="S123" s="110"/>
      <c r="T123" s="110"/>
      <c r="U123" s="110"/>
      <c r="V123" s="114">
        <v>5.0</v>
      </c>
      <c r="W123" s="39"/>
      <c r="X123" s="39"/>
      <c r="Y123" s="39"/>
      <c r="Z123" s="39"/>
      <c r="AA123" s="93">
        <f t="shared" si="3"/>
        <v>5</v>
      </c>
      <c r="AB123" s="139">
        <f t="shared" si="4"/>
        <v>7.142857143</v>
      </c>
      <c r="AC123" s="134">
        <f t="shared" si="5"/>
        <v>1</v>
      </c>
    </row>
    <row r="124">
      <c r="A124" s="39">
        <v>122.0</v>
      </c>
      <c r="B124" s="108" t="s">
        <v>164</v>
      </c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10"/>
      <c r="N124" s="110"/>
      <c r="O124" s="110"/>
      <c r="P124" s="113"/>
      <c r="Q124" s="110"/>
      <c r="R124" s="112"/>
      <c r="S124" s="110"/>
      <c r="T124" s="110"/>
      <c r="U124" s="110"/>
      <c r="V124" s="114">
        <v>5.0</v>
      </c>
      <c r="W124" s="39">
        <v>5.0</v>
      </c>
      <c r="X124" s="39">
        <v>5.0</v>
      </c>
      <c r="Y124" s="39"/>
      <c r="Z124" s="39"/>
      <c r="AA124" s="93">
        <f t="shared" si="3"/>
        <v>15</v>
      </c>
      <c r="AB124" s="139">
        <f t="shared" si="4"/>
        <v>21.42857143</v>
      </c>
      <c r="AC124" s="134">
        <f t="shared" si="5"/>
        <v>3</v>
      </c>
    </row>
    <row r="125">
      <c r="A125" s="39">
        <v>123.0</v>
      </c>
      <c r="B125" s="108" t="s">
        <v>165</v>
      </c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10"/>
      <c r="N125" s="110"/>
      <c r="O125" s="110"/>
      <c r="P125" s="113"/>
      <c r="Q125" s="110"/>
      <c r="R125" s="112"/>
      <c r="S125" s="110"/>
      <c r="T125" s="110"/>
      <c r="U125" s="110"/>
      <c r="V125" s="114">
        <v>5.0</v>
      </c>
      <c r="W125" s="39"/>
      <c r="X125" s="39"/>
      <c r="Y125" s="39"/>
      <c r="Z125" s="39"/>
      <c r="AA125" s="93">
        <f t="shared" si="3"/>
        <v>5</v>
      </c>
      <c r="AB125" s="139">
        <f t="shared" si="4"/>
        <v>7.142857143</v>
      </c>
      <c r="AC125" s="134">
        <f t="shared" si="5"/>
        <v>1</v>
      </c>
    </row>
    <row r="126">
      <c r="A126" s="39">
        <v>124.0</v>
      </c>
      <c r="B126" s="108" t="s">
        <v>166</v>
      </c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10"/>
      <c r="N126" s="110"/>
      <c r="O126" s="110"/>
      <c r="P126" s="113"/>
      <c r="Q126" s="110"/>
      <c r="R126" s="112"/>
      <c r="S126" s="110"/>
      <c r="T126" s="110"/>
      <c r="U126" s="110"/>
      <c r="V126" s="114">
        <v>5.0</v>
      </c>
      <c r="W126" s="39"/>
      <c r="X126" s="39"/>
      <c r="Y126" s="39"/>
      <c r="Z126" s="39"/>
      <c r="AA126" s="93">
        <f t="shared" si="3"/>
        <v>5</v>
      </c>
      <c r="AB126" s="139">
        <f t="shared" si="4"/>
        <v>7.142857143</v>
      </c>
      <c r="AC126" s="134">
        <f t="shared" si="5"/>
        <v>1</v>
      </c>
    </row>
    <row r="127">
      <c r="A127" s="39">
        <v>125.0</v>
      </c>
      <c r="B127" s="108" t="s">
        <v>167</v>
      </c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10"/>
      <c r="N127" s="110"/>
      <c r="O127" s="110"/>
      <c r="P127" s="113"/>
      <c r="Q127" s="110"/>
      <c r="R127" s="112"/>
      <c r="S127" s="110"/>
      <c r="T127" s="110"/>
      <c r="U127" s="110"/>
      <c r="V127" s="114"/>
      <c r="W127" s="39">
        <v>5.0</v>
      </c>
      <c r="X127" s="39"/>
      <c r="Y127" s="39"/>
      <c r="Z127" s="39"/>
      <c r="AA127" s="93">
        <f t="shared" si="3"/>
        <v>5</v>
      </c>
      <c r="AB127" s="139">
        <f t="shared" si="4"/>
        <v>7.142857143</v>
      </c>
      <c r="AC127" s="134">
        <f t="shared" si="5"/>
        <v>1</v>
      </c>
    </row>
    <row r="128">
      <c r="A128" s="114">
        <v>126.0</v>
      </c>
      <c r="B128" s="108" t="s">
        <v>168</v>
      </c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10"/>
      <c r="N128" s="110"/>
      <c r="O128" s="110"/>
      <c r="P128" s="113"/>
      <c r="Q128" s="110"/>
      <c r="R128" s="112"/>
      <c r="S128" s="110"/>
      <c r="T128" s="110"/>
      <c r="U128" s="110"/>
      <c r="V128" s="110"/>
      <c r="W128" s="39">
        <v>5.0</v>
      </c>
      <c r="X128" s="39"/>
      <c r="Y128" s="39"/>
      <c r="Z128" s="39"/>
      <c r="AA128" s="93">
        <f t="shared" si="3"/>
        <v>5</v>
      </c>
      <c r="AB128" s="139">
        <f t="shared" si="4"/>
        <v>7.142857143</v>
      </c>
      <c r="AC128" s="134">
        <f t="shared" si="5"/>
        <v>1</v>
      </c>
    </row>
    <row r="129">
      <c r="A129" s="114">
        <v>127.0</v>
      </c>
      <c r="B129" s="108" t="s">
        <v>169</v>
      </c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10"/>
      <c r="N129" s="110"/>
      <c r="O129" s="110"/>
      <c r="P129" s="113"/>
      <c r="Q129" s="110"/>
      <c r="R129" s="112"/>
      <c r="S129" s="110"/>
      <c r="T129" s="110"/>
      <c r="U129" s="110"/>
      <c r="V129" s="110"/>
      <c r="W129" s="39">
        <v>5.0</v>
      </c>
      <c r="X129" s="39"/>
      <c r="Y129" s="39"/>
      <c r="Z129" s="39"/>
      <c r="AA129" s="93">
        <f t="shared" si="3"/>
        <v>5</v>
      </c>
      <c r="AB129" s="139">
        <f t="shared" si="4"/>
        <v>7.142857143</v>
      </c>
      <c r="AC129" s="134">
        <f t="shared" si="5"/>
        <v>1</v>
      </c>
    </row>
    <row r="130">
      <c r="A130" s="114">
        <v>128.0</v>
      </c>
      <c r="B130" s="108" t="s">
        <v>170</v>
      </c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10"/>
      <c r="N130" s="110"/>
      <c r="O130" s="110"/>
      <c r="P130" s="113"/>
      <c r="Q130" s="110"/>
      <c r="R130" s="112"/>
      <c r="S130" s="110"/>
      <c r="T130" s="110"/>
      <c r="U130" s="110"/>
      <c r="V130" s="110"/>
      <c r="W130" s="39">
        <v>5.0</v>
      </c>
      <c r="X130" s="39"/>
      <c r="Y130" s="39"/>
      <c r="Z130" s="39"/>
      <c r="AA130" s="93">
        <f t="shared" si="3"/>
        <v>5</v>
      </c>
      <c r="AB130" s="139">
        <f t="shared" si="4"/>
        <v>7.142857143</v>
      </c>
      <c r="AC130" s="134">
        <f t="shared" si="5"/>
        <v>1</v>
      </c>
    </row>
    <row r="131">
      <c r="A131" s="114">
        <v>129.0</v>
      </c>
      <c r="B131" s="108" t="s">
        <v>171</v>
      </c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10"/>
      <c r="N131" s="110"/>
      <c r="O131" s="110"/>
      <c r="P131" s="113"/>
      <c r="Q131" s="110"/>
      <c r="R131" s="112"/>
      <c r="S131" s="110"/>
      <c r="T131" s="110"/>
      <c r="U131" s="110"/>
      <c r="V131" s="110"/>
      <c r="W131" s="39"/>
      <c r="X131" s="39">
        <v>5.0</v>
      </c>
      <c r="Y131" s="39"/>
      <c r="Z131" s="39"/>
      <c r="AA131" s="93">
        <f t="shared" si="3"/>
        <v>5</v>
      </c>
      <c r="AB131" s="139">
        <f t="shared" si="4"/>
        <v>7.142857143</v>
      </c>
      <c r="AC131" s="134">
        <f t="shared" si="5"/>
        <v>1</v>
      </c>
    </row>
    <row r="132">
      <c r="A132" s="114">
        <v>130.0</v>
      </c>
      <c r="B132" s="108" t="s">
        <v>172</v>
      </c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10"/>
      <c r="N132" s="110"/>
      <c r="O132" s="110"/>
      <c r="P132" s="113"/>
      <c r="Q132" s="110"/>
      <c r="R132" s="112"/>
      <c r="S132" s="110"/>
      <c r="T132" s="110"/>
      <c r="U132" s="110"/>
      <c r="V132" s="110"/>
      <c r="W132" s="39"/>
      <c r="X132" s="39"/>
      <c r="Y132" s="39"/>
      <c r="Z132" s="39">
        <v>5.0</v>
      </c>
      <c r="AA132" s="93">
        <f t="shared" si="3"/>
        <v>5</v>
      </c>
      <c r="AB132" s="139">
        <f t="shared" si="4"/>
        <v>7.142857143</v>
      </c>
      <c r="AC132" s="134">
        <f t="shared" si="5"/>
        <v>1</v>
      </c>
    </row>
    <row r="133">
      <c r="A133" s="114">
        <v>131.0</v>
      </c>
      <c r="B133" s="108" t="s">
        <v>173</v>
      </c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10"/>
      <c r="N133" s="110"/>
      <c r="O133" s="110"/>
      <c r="P133" s="113"/>
      <c r="Q133" s="110"/>
      <c r="R133" s="112"/>
      <c r="S133" s="110"/>
      <c r="T133" s="110"/>
      <c r="U133" s="110"/>
      <c r="V133" s="110"/>
      <c r="W133" s="39"/>
      <c r="X133" s="39"/>
      <c r="Y133" s="39"/>
      <c r="Z133" s="39">
        <v>5.0</v>
      </c>
      <c r="AA133" s="93">
        <f t="shared" si="3"/>
        <v>5</v>
      </c>
      <c r="AB133" s="139">
        <f t="shared" si="4"/>
        <v>7.142857143</v>
      </c>
      <c r="AC133" s="134">
        <f t="shared" si="5"/>
        <v>1</v>
      </c>
    </row>
    <row r="134">
      <c r="A134" s="114">
        <v>132.0</v>
      </c>
      <c r="B134" s="108" t="s">
        <v>174</v>
      </c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10"/>
      <c r="N134" s="110"/>
      <c r="O134" s="110"/>
      <c r="P134" s="113"/>
      <c r="Q134" s="110"/>
      <c r="R134" s="112"/>
      <c r="S134" s="110"/>
      <c r="T134" s="110"/>
      <c r="U134" s="110"/>
      <c r="V134" s="110"/>
      <c r="W134" s="39"/>
      <c r="X134" s="39"/>
      <c r="Y134" s="39"/>
      <c r="Z134" s="39">
        <v>5.0</v>
      </c>
      <c r="AA134" s="93">
        <f t="shared" si="3"/>
        <v>5</v>
      </c>
      <c r="AB134" s="139">
        <f t="shared" si="4"/>
        <v>7.142857143</v>
      </c>
      <c r="AC134" s="134">
        <f t="shared" si="5"/>
        <v>1</v>
      </c>
    </row>
    <row r="135">
      <c r="A135" s="110"/>
      <c r="B135" s="110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10"/>
      <c r="N135" s="110"/>
      <c r="O135" s="110"/>
      <c r="P135" s="113"/>
      <c r="Q135" s="110"/>
      <c r="R135" s="112"/>
      <c r="S135" s="110"/>
      <c r="T135" s="110"/>
      <c r="U135" s="110"/>
      <c r="V135" s="110"/>
      <c r="W135" s="39"/>
      <c r="X135" s="39"/>
      <c r="Y135" s="39"/>
      <c r="Z135" s="39"/>
      <c r="AA135" s="93">
        <f t="shared" si="3"/>
        <v>0</v>
      </c>
      <c r="AB135" s="139">
        <f t="shared" si="4"/>
        <v>0</v>
      </c>
      <c r="AC135" s="134">
        <f t="shared" si="5"/>
        <v>0</v>
      </c>
    </row>
    <row r="136">
      <c r="A136" s="110"/>
      <c r="B136" s="110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10"/>
      <c r="N136" s="110"/>
      <c r="O136" s="110"/>
      <c r="P136" s="113"/>
      <c r="Q136" s="110"/>
      <c r="R136" s="112"/>
      <c r="S136" s="110"/>
      <c r="T136" s="110"/>
      <c r="U136" s="110"/>
      <c r="V136" s="110"/>
      <c r="W136" s="39"/>
      <c r="X136" s="39"/>
      <c r="Y136" s="39"/>
      <c r="Z136" s="39"/>
      <c r="AA136" s="93">
        <f t="shared" si="3"/>
        <v>0</v>
      </c>
      <c r="AB136" s="139">
        <f t="shared" si="4"/>
        <v>0</v>
      </c>
      <c r="AC136" s="134">
        <f t="shared" si="5"/>
        <v>0</v>
      </c>
    </row>
    <row r="137">
      <c r="A137" s="110"/>
      <c r="B137" s="110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10"/>
      <c r="N137" s="110"/>
      <c r="O137" s="110"/>
      <c r="P137" s="113"/>
      <c r="Q137" s="110"/>
      <c r="R137" s="112"/>
      <c r="S137" s="110"/>
      <c r="T137" s="110"/>
      <c r="U137" s="110"/>
      <c r="V137" s="110"/>
      <c r="W137" s="39"/>
      <c r="X137" s="39"/>
      <c r="Y137" s="39"/>
      <c r="Z137" s="39"/>
      <c r="AA137" s="93">
        <f t="shared" si="3"/>
        <v>0</v>
      </c>
      <c r="AB137" s="139">
        <f t="shared" si="4"/>
        <v>0</v>
      </c>
      <c r="AC137" s="134">
        <f t="shared" si="5"/>
        <v>0</v>
      </c>
    </row>
    <row r="138">
      <c r="A138" s="110"/>
      <c r="B138" s="110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10"/>
      <c r="N138" s="110"/>
      <c r="O138" s="110"/>
      <c r="P138" s="113"/>
      <c r="Q138" s="110"/>
      <c r="R138" s="112"/>
      <c r="S138" s="110"/>
      <c r="T138" s="110"/>
      <c r="U138" s="110"/>
      <c r="V138" s="110"/>
      <c r="W138" s="39"/>
      <c r="X138" s="39"/>
      <c r="Y138" s="39"/>
      <c r="Z138" s="39"/>
      <c r="AA138" s="93">
        <f t="shared" si="3"/>
        <v>0</v>
      </c>
      <c r="AB138" s="139">
        <f t="shared" si="4"/>
        <v>0</v>
      </c>
      <c r="AC138" s="134">
        <f t="shared" si="5"/>
        <v>0</v>
      </c>
    </row>
    <row r="139">
      <c r="A139" s="110"/>
      <c r="B139" s="110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10"/>
      <c r="N139" s="110"/>
      <c r="O139" s="110"/>
      <c r="P139" s="113"/>
      <c r="Q139" s="110"/>
      <c r="R139" s="112"/>
      <c r="S139" s="110"/>
      <c r="T139" s="110"/>
      <c r="U139" s="110"/>
      <c r="V139" s="110"/>
      <c r="W139" s="39"/>
      <c r="X139" s="39"/>
      <c r="Y139" s="39"/>
      <c r="Z139" s="39"/>
      <c r="AA139" s="93">
        <f t="shared" si="3"/>
        <v>0</v>
      </c>
      <c r="AB139" s="139">
        <f t="shared" si="4"/>
        <v>0</v>
      </c>
      <c r="AC139" s="134">
        <f t="shared" si="5"/>
        <v>0</v>
      </c>
    </row>
    <row r="140">
      <c r="A140" s="110"/>
      <c r="B140" s="110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10"/>
      <c r="N140" s="110"/>
      <c r="O140" s="110"/>
      <c r="P140" s="113"/>
      <c r="Q140" s="110"/>
      <c r="R140" s="112"/>
      <c r="S140" s="110"/>
      <c r="T140" s="110"/>
      <c r="U140" s="110"/>
      <c r="V140" s="110"/>
      <c r="W140" s="39"/>
      <c r="X140" s="39"/>
      <c r="Y140" s="39"/>
      <c r="Z140" s="39"/>
      <c r="AA140" s="93">
        <f t="shared" si="3"/>
        <v>0</v>
      </c>
      <c r="AB140" s="139">
        <f t="shared" si="4"/>
        <v>0</v>
      </c>
      <c r="AC140" s="134">
        <f t="shared" si="5"/>
        <v>0</v>
      </c>
    </row>
    <row r="141">
      <c r="A141" s="110"/>
      <c r="B141" s="110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10"/>
      <c r="N141" s="110"/>
      <c r="O141" s="110"/>
      <c r="P141" s="113"/>
      <c r="Q141" s="110"/>
      <c r="R141" s="112"/>
      <c r="S141" s="110"/>
      <c r="T141" s="110"/>
      <c r="U141" s="110"/>
      <c r="V141" s="110"/>
      <c r="W141" s="39"/>
      <c r="X141" s="39"/>
      <c r="Y141" s="39"/>
      <c r="Z141" s="39"/>
      <c r="AA141" s="93">
        <f t="shared" si="3"/>
        <v>0</v>
      </c>
      <c r="AB141" s="139">
        <f t="shared" si="4"/>
        <v>0</v>
      </c>
      <c r="AC141" s="134">
        <f t="shared" si="5"/>
        <v>0</v>
      </c>
    </row>
    <row r="142">
      <c r="A142" s="110"/>
      <c r="B142" s="110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10"/>
      <c r="N142" s="110"/>
      <c r="O142" s="110"/>
      <c r="P142" s="113"/>
      <c r="Q142" s="110"/>
      <c r="R142" s="112"/>
      <c r="S142" s="110"/>
      <c r="T142" s="110"/>
      <c r="U142" s="110"/>
      <c r="V142" s="110"/>
      <c r="W142" s="39"/>
      <c r="X142" s="39"/>
      <c r="Y142" s="39"/>
      <c r="Z142" s="39"/>
      <c r="AA142" s="93">
        <f t="shared" si="3"/>
        <v>0</v>
      </c>
      <c r="AB142" s="139">
        <f t="shared" si="4"/>
        <v>0</v>
      </c>
      <c r="AC142" s="134">
        <f t="shared" si="5"/>
        <v>0</v>
      </c>
    </row>
    <row r="143">
      <c r="A143" s="110"/>
      <c r="B143" s="110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10"/>
      <c r="N143" s="110"/>
      <c r="O143" s="110"/>
      <c r="P143" s="113"/>
      <c r="Q143" s="110"/>
      <c r="R143" s="112"/>
      <c r="S143" s="110"/>
      <c r="T143" s="110"/>
      <c r="U143" s="110"/>
      <c r="V143" s="110"/>
      <c r="W143" s="39"/>
      <c r="X143" s="39"/>
      <c r="Y143" s="39"/>
      <c r="Z143" s="39"/>
      <c r="AA143" s="93">
        <f t="shared" si="3"/>
        <v>0</v>
      </c>
      <c r="AB143" s="139">
        <f t="shared" si="4"/>
        <v>0</v>
      </c>
      <c r="AC143" s="134">
        <f t="shared" si="5"/>
        <v>0</v>
      </c>
    </row>
    <row r="144">
      <c r="A144" s="110"/>
      <c r="B144" s="110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10"/>
      <c r="N144" s="110"/>
      <c r="O144" s="110"/>
      <c r="P144" s="113"/>
      <c r="Q144" s="110"/>
      <c r="R144" s="112"/>
      <c r="S144" s="110"/>
      <c r="T144" s="110"/>
      <c r="U144" s="110"/>
      <c r="V144" s="110"/>
      <c r="W144" s="39"/>
      <c r="X144" s="39"/>
      <c r="Y144" s="39"/>
      <c r="Z144" s="39"/>
      <c r="AA144" s="93">
        <f t="shared" si="3"/>
        <v>0</v>
      </c>
      <c r="AB144" s="139">
        <f t="shared" si="4"/>
        <v>0</v>
      </c>
      <c r="AC144" s="134">
        <f t="shared" si="5"/>
        <v>0</v>
      </c>
    </row>
    <row r="145">
      <c r="A145" s="110"/>
      <c r="B145" s="110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10"/>
      <c r="N145" s="110"/>
      <c r="O145" s="110"/>
      <c r="P145" s="113"/>
      <c r="Q145" s="110"/>
      <c r="R145" s="112"/>
      <c r="S145" s="110"/>
      <c r="T145" s="110"/>
      <c r="U145" s="110"/>
      <c r="V145" s="110"/>
      <c r="W145" s="39"/>
      <c r="X145" s="39"/>
      <c r="Y145" s="39"/>
      <c r="Z145" s="39"/>
      <c r="AA145" s="93">
        <f t="shared" si="3"/>
        <v>0</v>
      </c>
      <c r="AB145" s="139">
        <f t="shared" si="4"/>
        <v>0</v>
      </c>
      <c r="AC145" s="134">
        <f t="shared" si="5"/>
        <v>0</v>
      </c>
    </row>
    <row r="146">
      <c r="A146" s="110"/>
      <c r="B146" s="110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10"/>
      <c r="N146" s="110"/>
      <c r="O146" s="110"/>
      <c r="P146" s="113"/>
      <c r="Q146" s="110"/>
      <c r="R146" s="112"/>
      <c r="S146" s="110"/>
      <c r="T146" s="110"/>
      <c r="U146" s="110"/>
      <c r="V146" s="110"/>
      <c r="W146" s="39"/>
      <c r="X146" s="39"/>
      <c r="Y146" s="39"/>
      <c r="Z146" s="39"/>
      <c r="AA146" s="93">
        <f t="shared" si="3"/>
        <v>0</v>
      </c>
      <c r="AB146" s="139">
        <f t="shared" si="4"/>
        <v>0</v>
      </c>
      <c r="AC146" s="134">
        <f t="shared" si="5"/>
        <v>0</v>
      </c>
    </row>
    <row r="147">
      <c r="A147" s="110"/>
      <c r="B147" s="110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10"/>
      <c r="N147" s="110"/>
      <c r="O147" s="110"/>
      <c r="P147" s="113"/>
      <c r="Q147" s="110"/>
      <c r="R147" s="112"/>
      <c r="S147" s="110"/>
      <c r="T147" s="110"/>
      <c r="U147" s="110"/>
      <c r="V147" s="110"/>
      <c r="W147" s="39"/>
      <c r="X147" s="39"/>
      <c r="Y147" s="39"/>
      <c r="Z147" s="39"/>
      <c r="AA147" s="93">
        <f t="shared" si="3"/>
        <v>0</v>
      </c>
      <c r="AB147" s="139">
        <f t="shared" si="4"/>
        <v>0</v>
      </c>
      <c r="AC147" s="134">
        <f t="shared" si="5"/>
        <v>0</v>
      </c>
    </row>
    <row r="148">
      <c r="A148" s="110"/>
      <c r="B148" s="110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10"/>
      <c r="N148" s="110"/>
      <c r="O148" s="110"/>
      <c r="P148" s="113"/>
      <c r="Q148" s="110"/>
      <c r="R148" s="112"/>
      <c r="S148" s="110"/>
      <c r="T148" s="110"/>
      <c r="U148" s="110"/>
      <c r="V148" s="110"/>
      <c r="W148" s="39"/>
      <c r="X148" s="39"/>
      <c r="Y148" s="39"/>
      <c r="Z148" s="39"/>
      <c r="AA148" s="93">
        <f t="shared" si="3"/>
        <v>0</v>
      </c>
      <c r="AB148" s="139">
        <f t="shared" si="4"/>
        <v>0</v>
      </c>
      <c r="AC148" s="134">
        <f t="shared" si="5"/>
        <v>0</v>
      </c>
    </row>
    <row r="149">
      <c r="A149" s="110"/>
      <c r="B149" s="110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10"/>
      <c r="N149" s="110"/>
      <c r="O149" s="110"/>
      <c r="P149" s="113"/>
      <c r="Q149" s="110"/>
      <c r="R149" s="112"/>
      <c r="S149" s="110"/>
      <c r="T149" s="110"/>
      <c r="U149" s="110"/>
      <c r="V149" s="110"/>
      <c r="W149" s="39"/>
      <c r="X149" s="39"/>
      <c r="Y149" s="39"/>
      <c r="Z149" s="39"/>
      <c r="AA149" s="93">
        <f t="shared" si="3"/>
        <v>0</v>
      </c>
      <c r="AB149" s="139">
        <f t="shared" si="4"/>
        <v>0</v>
      </c>
      <c r="AC149" s="134">
        <f t="shared" si="5"/>
        <v>0</v>
      </c>
    </row>
    <row r="150">
      <c r="A150" s="110"/>
      <c r="B150" s="110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10"/>
      <c r="N150" s="110"/>
      <c r="O150" s="110"/>
      <c r="P150" s="113"/>
      <c r="Q150" s="110"/>
      <c r="R150" s="112"/>
      <c r="S150" s="110"/>
      <c r="T150" s="110"/>
      <c r="U150" s="110"/>
      <c r="V150" s="110"/>
      <c r="W150" s="39"/>
      <c r="X150" s="39"/>
      <c r="Y150" s="39"/>
      <c r="Z150" s="39"/>
      <c r="AA150" s="93">
        <f t="shared" si="3"/>
        <v>0</v>
      </c>
      <c r="AB150" s="139">
        <f t="shared" si="4"/>
        <v>0</v>
      </c>
      <c r="AC150" s="134">
        <f t="shared" si="5"/>
        <v>0</v>
      </c>
    </row>
    <row r="151">
      <c r="A151" s="110"/>
      <c r="B151" s="110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10"/>
      <c r="N151" s="110"/>
      <c r="O151" s="110"/>
      <c r="P151" s="113"/>
      <c r="Q151" s="110"/>
      <c r="R151" s="112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2"/>
    </row>
    <row r="152">
      <c r="A152" s="110"/>
      <c r="B152" s="110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10"/>
      <c r="N152" s="110"/>
      <c r="O152" s="110"/>
      <c r="P152" s="113"/>
      <c r="Q152" s="110"/>
      <c r="R152" s="112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2"/>
    </row>
    <row r="153">
      <c r="A153" s="110"/>
      <c r="B153" s="110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10"/>
      <c r="N153" s="110"/>
      <c r="O153" s="110"/>
      <c r="P153" s="113"/>
      <c r="Q153" s="110"/>
      <c r="R153" s="112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2"/>
    </row>
    <row r="154">
      <c r="A154" s="110"/>
      <c r="B154" s="110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10"/>
      <c r="N154" s="110"/>
      <c r="O154" s="110"/>
      <c r="P154" s="113"/>
      <c r="Q154" s="110"/>
      <c r="R154" s="112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2"/>
    </row>
    <row r="155">
      <c r="A155" s="110"/>
      <c r="B155" s="110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10"/>
      <c r="N155" s="110"/>
      <c r="O155" s="110"/>
      <c r="P155" s="113"/>
      <c r="Q155" s="110"/>
      <c r="R155" s="112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2"/>
    </row>
    <row r="156">
      <c r="A156" s="110"/>
      <c r="B156" s="110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10"/>
      <c r="N156" s="110"/>
      <c r="O156" s="110"/>
      <c r="P156" s="113"/>
      <c r="Q156" s="110"/>
      <c r="R156" s="112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2"/>
    </row>
    <row r="157">
      <c r="A157" s="110"/>
      <c r="B157" s="110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10"/>
      <c r="N157" s="110"/>
      <c r="O157" s="110"/>
      <c r="P157" s="113"/>
      <c r="Q157" s="110"/>
      <c r="R157" s="112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2"/>
    </row>
    <row r="158">
      <c r="A158" s="110"/>
      <c r="B158" s="110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10"/>
      <c r="N158" s="110"/>
      <c r="O158" s="110"/>
      <c r="P158" s="113"/>
      <c r="Q158" s="110"/>
      <c r="R158" s="112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2"/>
    </row>
    <row r="159">
      <c r="A159" s="110"/>
      <c r="B159" s="110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10"/>
      <c r="N159" s="110"/>
      <c r="O159" s="110"/>
      <c r="P159" s="113"/>
      <c r="Q159" s="110"/>
      <c r="R159" s="112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2"/>
    </row>
    <row r="160">
      <c r="A160" s="110"/>
      <c r="B160" s="110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10"/>
      <c r="N160" s="110"/>
      <c r="O160" s="110"/>
      <c r="P160" s="113"/>
      <c r="Q160" s="110"/>
      <c r="R160" s="112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2"/>
    </row>
    <row r="161">
      <c r="A161" s="110"/>
      <c r="B161" s="110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10"/>
      <c r="N161" s="110"/>
      <c r="O161" s="110"/>
      <c r="P161" s="113"/>
      <c r="Q161" s="110"/>
      <c r="R161" s="112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2"/>
    </row>
    <row r="162">
      <c r="A162" s="110"/>
      <c r="B162" s="110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10"/>
      <c r="N162" s="110"/>
      <c r="O162" s="110"/>
      <c r="P162" s="113"/>
      <c r="Q162" s="110"/>
      <c r="R162" s="112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2"/>
    </row>
    <row r="163">
      <c r="A163" s="110"/>
      <c r="B163" s="110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10"/>
      <c r="N163" s="110"/>
      <c r="O163" s="110"/>
      <c r="P163" s="113"/>
      <c r="Q163" s="110"/>
      <c r="R163" s="112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2"/>
    </row>
    <row r="164">
      <c r="A164" s="110"/>
      <c r="B164" s="110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10"/>
      <c r="N164" s="110"/>
      <c r="O164" s="110"/>
      <c r="P164" s="113"/>
      <c r="Q164" s="110"/>
      <c r="R164" s="112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2"/>
    </row>
    <row r="165">
      <c r="A165" s="110"/>
      <c r="B165" s="110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10"/>
      <c r="N165" s="110"/>
      <c r="O165" s="110"/>
      <c r="P165" s="113"/>
      <c r="Q165" s="110"/>
      <c r="R165" s="112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2"/>
    </row>
    <row r="166">
      <c r="A166" s="110"/>
      <c r="B166" s="110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10"/>
      <c r="N166" s="110"/>
      <c r="O166" s="110"/>
      <c r="P166" s="113"/>
      <c r="Q166" s="110"/>
      <c r="R166" s="112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2"/>
    </row>
    <row r="167">
      <c r="A167" s="110"/>
      <c r="B167" s="110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10"/>
      <c r="N167" s="110"/>
      <c r="O167" s="110"/>
      <c r="P167" s="113"/>
      <c r="Q167" s="110"/>
      <c r="R167" s="112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2"/>
    </row>
    <row r="168">
      <c r="A168" s="110"/>
      <c r="B168" s="110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10"/>
      <c r="N168" s="110"/>
      <c r="O168" s="110"/>
      <c r="P168" s="113"/>
      <c r="Q168" s="110"/>
      <c r="R168" s="112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2"/>
    </row>
    <row r="169">
      <c r="A169" s="110"/>
      <c r="B169" s="110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10"/>
      <c r="N169" s="110"/>
      <c r="O169" s="110"/>
      <c r="P169" s="113"/>
      <c r="Q169" s="110"/>
      <c r="R169" s="112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2"/>
    </row>
    <row r="170">
      <c r="A170" s="110"/>
      <c r="B170" s="110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10"/>
      <c r="N170" s="110"/>
      <c r="O170" s="110"/>
      <c r="P170" s="113"/>
      <c r="Q170" s="110"/>
      <c r="R170" s="112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2"/>
    </row>
    <row r="171">
      <c r="A171" s="110"/>
      <c r="B171" s="110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10"/>
      <c r="N171" s="110"/>
      <c r="O171" s="110"/>
      <c r="P171" s="113"/>
      <c r="Q171" s="110"/>
      <c r="R171" s="112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2"/>
    </row>
    <row r="172">
      <c r="A172" s="110"/>
      <c r="B172" s="110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10"/>
      <c r="N172" s="110"/>
      <c r="O172" s="110"/>
      <c r="P172" s="113"/>
      <c r="Q172" s="110"/>
      <c r="R172" s="112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2"/>
    </row>
    <row r="173">
      <c r="A173" s="110"/>
      <c r="B173" s="110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10"/>
      <c r="N173" s="110"/>
      <c r="O173" s="110"/>
      <c r="P173" s="113"/>
      <c r="Q173" s="110"/>
      <c r="R173" s="112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2"/>
    </row>
    <row r="174">
      <c r="A174" s="110"/>
      <c r="B174" s="110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10"/>
      <c r="N174" s="110"/>
      <c r="O174" s="110"/>
      <c r="P174" s="113"/>
      <c r="Q174" s="110"/>
      <c r="R174" s="112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2"/>
    </row>
    <row r="175">
      <c r="A175" s="110"/>
      <c r="B175" s="110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10"/>
      <c r="N175" s="110"/>
      <c r="O175" s="110"/>
      <c r="P175" s="113"/>
      <c r="Q175" s="110"/>
      <c r="R175" s="112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2"/>
    </row>
    <row r="176">
      <c r="A176" s="110"/>
      <c r="B176" s="110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10"/>
      <c r="N176" s="110"/>
      <c r="O176" s="110"/>
      <c r="P176" s="113"/>
      <c r="Q176" s="110"/>
      <c r="R176" s="112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2"/>
    </row>
    <row r="177">
      <c r="A177" s="110"/>
      <c r="B177" s="110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10"/>
      <c r="N177" s="110"/>
      <c r="O177" s="110"/>
      <c r="P177" s="113"/>
      <c r="Q177" s="110"/>
      <c r="R177" s="112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2"/>
    </row>
    <row r="178">
      <c r="A178" s="110"/>
      <c r="B178" s="110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10"/>
      <c r="N178" s="110"/>
      <c r="O178" s="110"/>
      <c r="P178" s="113"/>
      <c r="Q178" s="110"/>
      <c r="R178" s="112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2"/>
    </row>
    <row r="179">
      <c r="A179" s="110"/>
      <c r="B179" s="110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10"/>
      <c r="N179" s="110"/>
      <c r="O179" s="110"/>
      <c r="P179" s="113"/>
      <c r="Q179" s="110"/>
      <c r="R179" s="112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2"/>
    </row>
    <row r="180">
      <c r="A180" s="110"/>
      <c r="B180" s="110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10"/>
      <c r="N180" s="110"/>
      <c r="O180" s="110"/>
      <c r="P180" s="113"/>
      <c r="Q180" s="110"/>
      <c r="R180" s="112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2"/>
    </row>
    <row r="181">
      <c r="A181" s="110"/>
      <c r="B181" s="110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10"/>
      <c r="N181" s="110"/>
      <c r="O181" s="110"/>
      <c r="P181" s="113"/>
      <c r="Q181" s="110"/>
      <c r="R181" s="112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2"/>
    </row>
    <row r="182">
      <c r="A182" s="110"/>
      <c r="B182" s="110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10"/>
      <c r="N182" s="110"/>
      <c r="O182" s="110"/>
      <c r="P182" s="113"/>
      <c r="Q182" s="110"/>
      <c r="R182" s="112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2"/>
    </row>
    <row r="183">
      <c r="A183" s="110"/>
      <c r="B183" s="110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10"/>
      <c r="N183" s="110"/>
      <c r="O183" s="110"/>
      <c r="P183" s="113"/>
      <c r="Q183" s="110"/>
      <c r="R183" s="112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2"/>
    </row>
    <row r="184">
      <c r="A184" s="110"/>
      <c r="B184" s="110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10"/>
      <c r="N184" s="110"/>
      <c r="O184" s="110"/>
      <c r="P184" s="113"/>
      <c r="Q184" s="110"/>
      <c r="R184" s="112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2"/>
    </row>
    <row r="185">
      <c r="A185" s="110"/>
      <c r="B185" s="110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10"/>
      <c r="N185" s="110"/>
      <c r="O185" s="110"/>
      <c r="P185" s="113"/>
      <c r="Q185" s="110"/>
      <c r="R185" s="112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2"/>
    </row>
    <row r="186">
      <c r="A186" s="110"/>
      <c r="B186" s="110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10"/>
      <c r="N186" s="110"/>
      <c r="O186" s="110"/>
      <c r="P186" s="113"/>
      <c r="Q186" s="110"/>
      <c r="R186" s="112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2"/>
    </row>
    <row r="187">
      <c r="A187" s="110"/>
      <c r="B187" s="110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10"/>
      <c r="N187" s="110"/>
      <c r="O187" s="110"/>
      <c r="P187" s="113"/>
      <c r="Q187" s="110"/>
      <c r="R187" s="112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2"/>
    </row>
    <row r="188">
      <c r="A188" s="110"/>
      <c r="B188" s="110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10"/>
      <c r="N188" s="110"/>
      <c r="O188" s="110"/>
      <c r="P188" s="113"/>
      <c r="Q188" s="110"/>
      <c r="R188" s="112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2"/>
    </row>
    <row r="189">
      <c r="A189" s="110"/>
      <c r="B189" s="110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10"/>
      <c r="N189" s="110"/>
      <c r="O189" s="110"/>
      <c r="P189" s="113"/>
      <c r="Q189" s="110"/>
      <c r="R189" s="112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2"/>
    </row>
    <row r="190">
      <c r="A190" s="110"/>
      <c r="B190" s="110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10"/>
      <c r="N190" s="110"/>
      <c r="O190" s="110"/>
      <c r="P190" s="113"/>
      <c r="Q190" s="110"/>
      <c r="R190" s="112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2"/>
    </row>
    <row r="191">
      <c r="A191" s="110"/>
      <c r="B191" s="110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10"/>
      <c r="N191" s="110"/>
      <c r="O191" s="110"/>
      <c r="P191" s="113"/>
      <c r="Q191" s="110"/>
      <c r="R191" s="112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2"/>
    </row>
    <row r="192">
      <c r="A192" s="110"/>
      <c r="B192" s="110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10"/>
      <c r="N192" s="110"/>
      <c r="O192" s="110"/>
      <c r="P192" s="113"/>
      <c r="Q192" s="110"/>
      <c r="R192" s="112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2"/>
    </row>
    <row r="193">
      <c r="A193" s="110"/>
      <c r="B193" s="110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10"/>
      <c r="N193" s="110"/>
      <c r="O193" s="110"/>
      <c r="P193" s="113"/>
      <c r="Q193" s="110"/>
      <c r="R193" s="112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2"/>
    </row>
    <row r="194">
      <c r="A194" s="110"/>
      <c r="B194" s="110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10"/>
      <c r="N194" s="110"/>
      <c r="O194" s="110"/>
      <c r="P194" s="113"/>
      <c r="Q194" s="110"/>
      <c r="R194" s="112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2"/>
    </row>
    <row r="195">
      <c r="A195" s="110"/>
      <c r="B195" s="110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10"/>
      <c r="N195" s="110"/>
      <c r="O195" s="110"/>
      <c r="P195" s="113"/>
      <c r="Q195" s="110"/>
      <c r="R195" s="112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2"/>
    </row>
    <row r="196">
      <c r="A196" s="110"/>
      <c r="B196" s="110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10"/>
      <c r="N196" s="110"/>
      <c r="O196" s="110"/>
      <c r="P196" s="113"/>
      <c r="Q196" s="110"/>
      <c r="R196" s="112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2"/>
    </row>
    <row r="197">
      <c r="A197" s="110"/>
      <c r="B197" s="110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10"/>
      <c r="N197" s="110"/>
      <c r="O197" s="110"/>
      <c r="P197" s="113"/>
      <c r="Q197" s="110"/>
      <c r="R197" s="112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2"/>
    </row>
    <row r="198">
      <c r="A198" s="110"/>
      <c r="B198" s="110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10"/>
      <c r="N198" s="110"/>
      <c r="O198" s="110"/>
      <c r="P198" s="113"/>
      <c r="Q198" s="110"/>
      <c r="R198" s="112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2"/>
    </row>
    <row r="199">
      <c r="A199" s="110"/>
      <c r="B199" s="110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10"/>
      <c r="N199" s="110"/>
      <c r="O199" s="110"/>
      <c r="P199" s="113"/>
      <c r="Q199" s="110"/>
      <c r="R199" s="112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2"/>
    </row>
    <row r="200">
      <c r="A200" s="110"/>
      <c r="B200" s="110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10"/>
      <c r="N200" s="110"/>
      <c r="O200" s="110"/>
      <c r="P200" s="113"/>
      <c r="Q200" s="110"/>
      <c r="R200" s="112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2"/>
    </row>
    <row r="201"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P201" s="121"/>
      <c r="R201" s="122"/>
      <c r="AC201" s="112"/>
    </row>
    <row r="202"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P202" s="121"/>
      <c r="R202" s="122"/>
      <c r="AC202" s="112"/>
    </row>
    <row r="203"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P203" s="121"/>
      <c r="R203" s="122"/>
      <c r="AC203" s="112"/>
    </row>
    <row r="204"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P204" s="121"/>
      <c r="R204" s="122"/>
      <c r="AC204" s="112"/>
    </row>
    <row r="205"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P205" s="121"/>
      <c r="R205" s="122"/>
      <c r="AC205" s="112"/>
    </row>
    <row r="206"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P206" s="121"/>
      <c r="R206" s="122"/>
      <c r="AC206" s="112"/>
    </row>
    <row r="207"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P207" s="121"/>
      <c r="R207" s="122"/>
      <c r="AC207" s="112"/>
    </row>
    <row r="208"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P208" s="121"/>
      <c r="R208" s="122"/>
      <c r="AC208" s="112"/>
    </row>
    <row r="209"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P209" s="121"/>
      <c r="R209" s="122"/>
      <c r="AC209" s="112"/>
    </row>
    <row r="210"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P210" s="121"/>
      <c r="R210" s="122"/>
      <c r="AC210" s="112"/>
    </row>
    <row r="211"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P211" s="121"/>
      <c r="R211" s="122"/>
      <c r="AC211" s="112"/>
    </row>
    <row r="212"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P212" s="121"/>
      <c r="R212" s="122"/>
      <c r="AC212" s="112"/>
    </row>
    <row r="213"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P213" s="121"/>
      <c r="R213" s="122"/>
      <c r="AC213" s="112"/>
    </row>
    <row r="214"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P214" s="121"/>
      <c r="R214" s="122"/>
      <c r="AC214" s="112"/>
    </row>
    <row r="215"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P215" s="121"/>
      <c r="R215" s="122"/>
      <c r="AC215" s="112"/>
    </row>
    <row r="216"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P216" s="121"/>
      <c r="R216" s="122"/>
      <c r="AC216" s="112"/>
    </row>
    <row r="217"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P217" s="121"/>
      <c r="R217" s="122"/>
      <c r="AC217" s="112"/>
    </row>
    <row r="218"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P218" s="121"/>
      <c r="R218" s="122"/>
      <c r="AC218" s="112"/>
    </row>
    <row r="219"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P219" s="121"/>
      <c r="R219" s="122"/>
      <c r="AC219" s="112"/>
    </row>
    <row r="220"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P220" s="121"/>
      <c r="R220" s="122"/>
      <c r="AC220" s="112"/>
    </row>
    <row r="221"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P221" s="121"/>
      <c r="R221" s="122"/>
      <c r="AC221" s="112"/>
    </row>
    <row r="222"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P222" s="121"/>
      <c r="R222" s="122"/>
      <c r="AC222" s="112"/>
    </row>
    <row r="223"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P223" s="121"/>
      <c r="R223" s="122"/>
      <c r="AC223" s="112"/>
    </row>
    <row r="224"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P224" s="121"/>
      <c r="R224" s="122"/>
      <c r="AC224" s="112"/>
    </row>
    <row r="225"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P225" s="121"/>
      <c r="R225" s="122"/>
      <c r="AC225" s="112"/>
    </row>
    <row r="226"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P226" s="121"/>
      <c r="R226" s="122"/>
      <c r="AC226" s="112"/>
    </row>
    <row r="227"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P227" s="121"/>
      <c r="R227" s="122"/>
      <c r="AC227" s="112"/>
    </row>
    <row r="228"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P228" s="121"/>
      <c r="R228" s="122"/>
      <c r="AC228" s="112"/>
    </row>
    <row r="229"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P229" s="121"/>
      <c r="R229" s="122"/>
      <c r="AC229" s="112"/>
    </row>
    <row r="230"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P230" s="121"/>
      <c r="R230" s="122"/>
      <c r="AC230" s="112"/>
    </row>
    <row r="231"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P231" s="121"/>
      <c r="R231" s="122"/>
      <c r="AC231" s="112"/>
    </row>
    <row r="232"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P232" s="121"/>
      <c r="R232" s="122"/>
      <c r="AC232" s="112"/>
    </row>
    <row r="233"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P233" s="121"/>
      <c r="R233" s="122"/>
      <c r="AC233" s="112"/>
    </row>
    <row r="234"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P234" s="121"/>
      <c r="R234" s="122"/>
      <c r="AC234" s="112"/>
    </row>
    <row r="235"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P235" s="121"/>
      <c r="R235" s="122"/>
      <c r="AC235" s="112"/>
    </row>
    <row r="236"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P236" s="121"/>
      <c r="R236" s="122"/>
      <c r="AC236" s="112"/>
    </row>
    <row r="237"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P237" s="121"/>
      <c r="R237" s="122"/>
      <c r="AC237" s="112"/>
    </row>
    <row r="238"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P238" s="121"/>
      <c r="R238" s="122"/>
      <c r="AC238" s="112"/>
    </row>
    <row r="239"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P239" s="121"/>
      <c r="R239" s="122"/>
      <c r="AC239" s="112"/>
    </row>
    <row r="240"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P240" s="121"/>
      <c r="R240" s="122"/>
      <c r="AC240" s="112"/>
    </row>
    <row r="241"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P241" s="121"/>
      <c r="R241" s="122"/>
      <c r="AC241" s="112"/>
    </row>
    <row r="242"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P242" s="121"/>
      <c r="R242" s="122"/>
      <c r="AC242" s="112"/>
    </row>
    <row r="243"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P243" s="121"/>
      <c r="R243" s="122"/>
      <c r="AC243" s="112"/>
    </row>
    <row r="244"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P244" s="121"/>
      <c r="R244" s="122"/>
      <c r="AC244" s="112"/>
    </row>
    <row r="245"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P245" s="121"/>
      <c r="R245" s="122"/>
      <c r="AC245" s="112"/>
    </row>
    <row r="246"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P246" s="121"/>
      <c r="R246" s="122"/>
      <c r="AC246" s="112"/>
    </row>
    <row r="247"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P247" s="121"/>
      <c r="R247" s="122"/>
      <c r="AC247" s="112"/>
    </row>
    <row r="248"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P248" s="121"/>
      <c r="R248" s="122"/>
      <c r="AC248" s="112"/>
    </row>
    <row r="249"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P249" s="121"/>
      <c r="R249" s="122"/>
      <c r="AC249" s="112"/>
    </row>
    <row r="250"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P250" s="121"/>
      <c r="R250" s="122"/>
      <c r="AC250" s="112"/>
    </row>
    <row r="251"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P251" s="121"/>
      <c r="R251" s="122"/>
      <c r="AC251" s="112"/>
    </row>
    <row r="252"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P252" s="121"/>
      <c r="R252" s="122"/>
      <c r="AC252" s="112"/>
    </row>
    <row r="253"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P253" s="121"/>
      <c r="R253" s="122"/>
      <c r="AC253" s="112"/>
    </row>
    <row r="254"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P254" s="121"/>
      <c r="R254" s="122"/>
      <c r="AC254" s="112"/>
    </row>
    <row r="255"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P255" s="121"/>
      <c r="R255" s="122"/>
      <c r="AC255" s="112"/>
    </row>
    <row r="256"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P256" s="121"/>
      <c r="R256" s="122"/>
      <c r="AC256" s="112"/>
    </row>
    <row r="257"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P257" s="121"/>
      <c r="R257" s="122"/>
      <c r="AC257" s="112"/>
    </row>
    <row r="258"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P258" s="121"/>
      <c r="R258" s="122"/>
      <c r="AC258" s="112"/>
    </row>
    <row r="259"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P259" s="121"/>
      <c r="R259" s="122"/>
      <c r="AC259" s="112"/>
    </row>
    <row r="260"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P260" s="121"/>
      <c r="R260" s="122"/>
      <c r="AC260" s="112"/>
    </row>
    <row r="261"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P261" s="121"/>
      <c r="R261" s="122"/>
      <c r="AC261" s="112"/>
    </row>
    <row r="262"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P262" s="121"/>
      <c r="R262" s="122"/>
      <c r="AC262" s="112"/>
    </row>
    <row r="263"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P263" s="121"/>
      <c r="R263" s="122"/>
      <c r="AC263" s="112"/>
    </row>
    <row r="264"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P264" s="121"/>
      <c r="R264" s="122"/>
      <c r="AC264" s="112"/>
    </row>
    <row r="265"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P265" s="121"/>
      <c r="R265" s="122"/>
      <c r="AC265" s="112"/>
    </row>
    <row r="266"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P266" s="121"/>
      <c r="R266" s="122"/>
      <c r="AC266" s="112"/>
    </row>
    <row r="267"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P267" s="121"/>
      <c r="R267" s="122"/>
      <c r="AC267" s="112"/>
    </row>
    <row r="268"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P268" s="121"/>
      <c r="R268" s="122"/>
      <c r="AC268" s="112"/>
    </row>
    <row r="269"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P269" s="121"/>
      <c r="R269" s="122"/>
      <c r="AC269" s="112"/>
    </row>
    <row r="270"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P270" s="121"/>
      <c r="R270" s="122"/>
      <c r="AC270" s="112"/>
    </row>
    <row r="271"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P271" s="121"/>
      <c r="R271" s="122"/>
      <c r="AC271" s="112"/>
    </row>
    <row r="272"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P272" s="121"/>
      <c r="R272" s="122"/>
      <c r="AC272" s="112"/>
    </row>
    <row r="273"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P273" s="121"/>
      <c r="R273" s="122"/>
      <c r="AC273" s="112"/>
    </row>
    <row r="274"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P274" s="121"/>
      <c r="R274" s="122"/>
      <c r="AC274" s="112"/>
    </row>
    <row r="275"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P275" s="121"/>
      <c r="R275" s="122"/>
      <c r="AC275" s="112"/>
    </row>
    <row r="276"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P276" s="121"/>
      <c r="R276" s="122"/>
      <c r="AC276" s="112"/>
    </row>
    <row r="277"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P277" s="121"/>
      <c r="R277" s="122"/>
      <c r="AC277" s="112"/>
    </row>
    <row r="278"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P278" s="121"/>
      <c r="R278" s="122"/>
      <c r="AC278" s="112"/>
    </row>
    <row r="279"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P279" s="121"/>
      <c r="R279" s="122"/>
      <c r="AC279" s="112"/>
    </row>
    <row r="280"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P280" s="121"/>
      <c r="R280" s="122"/>
      <c r="AC280" s="112"/>
    </row>
    <row r="281"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P281" s="121"/>
      <c r="R281" s="122"/>
      <c r="AC281" s="112"/>
    </row>
    <row r="282"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P282" s="121"/>
      <c r="R282" s="122"/>
      <c r="AC282" s="112"/>
    </row>
    <row r="283"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P283" s="121"/>
      <c r="R283" s="122"/>
      <c r="AC283" s="112"/>
    </row>
    <row r="284"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P284" s="121"/>
      <c r="R284" s="122"/>
      <c r="AC284" s="112"/>
    </row>
    <row r="285"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P285" s="121"/>
      <c r="R285" s="122"/>
      <c r="AC285" s="112"/>
    </row>
    <row r="286"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P286" s="121"/>
      <c r="R286" s="122"/>
      <c r="AC286" s="112"/>
    </row>
    <row r="287"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P287" s="121"/>
      <c r="R287" s="122"/>
      <c r="AC287" s="112"/>
    </row>
    <row r="288"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P288" s="121"/>
      <c r="R288" s="122"/>
      <c r="AC288" s="112"/>
    </row>
    <row r="289"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P289" s="121"/>
      <c r="R289" s="122"/>
      <c r="AC289" s="112"/>
    </row>
    <row r="290"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P290" s="121"/>
      <c r="R290" s="122"/>
      <c r="AC290" s="112"/>
    </row>
    <row r="291"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P291" s="121"/>
      <c r="R291" s="122"/>
      <c r="AC291" s="112"/>
    </row>
    <row r="292"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P292" s="121"/>
      <c r="R292" s="122"/>
      <c r="AC292" s="112"/>
    </row>
    <row r="293"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P293" s="121"/>
      <c r="R293" s="122"/>
      <c r="AC293" s="112"/>
    </row>
    <row r="294"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P294" s="121"/>
      <c r="R294" s="122"/>
      <c r="AC294" s="112"/>
    </row>
    <row r="295"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P295" s="121"/>
      <c r="R295" s="122"/>
      <c r="AC295" s="112"/>
    </row>
    <row r="296"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P296" s="121"/>
      <c r="R296" s="122"/>
      <c r="AC296" s="112"/>
    </row>
    <row r="297"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P297" s="121"/>
      <c r="R297" s="122"/>
      <c r="AC297" s="112"/>
    </row>
    <row r="298"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P298" s="121"/>
      <c r="R298" s="122"/>
      <c r="AC298" s="112"/>
    </row>
    <row r="299"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P299" s="121"/>
      <c r="R299" s="122"/>
      <c r="AC299" s="112"/>
    </row>
    <row r="300"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P300" s="121"/>
      <c r="R300" s="122"/>
      <c r="AC300" s="112"/>
    </row>
    <row r="301"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P301" s="121"/>
      <c r="R301" s="122"/>
      <c r="AC301" s="112"/>
    </row>
    <row r="302"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P302" s="121"/>
      <c r="R302" s="122"/>
      <c r="AC302" s="112"/>
    </row>
    <row r="303"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P303" s="121"/>
      <c r="R303" s="122"/>
      <c r="AC303" s="112"/>
    </row>
    <row r="304"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P304" s="121"/>
      <c r="R304" s="122"/>
      <c r="AC304" s="112"/>
    </row>
    <row r="305"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P305" s="121"/>
      <c r="R305" s="122"/>
      <c r="AC305" s="112"/>
    </row>
    <row r="306"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P306" s="121"/>
      <c r="R306" s="122"/>
      <c r="AC306" s="112"/>
    </row>
    <row r="307"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P307" s="121"/>
      <c r="R307" s="122"/>
      <c r="AC307" s="112"/>
    </row>
    <row r="308"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P308" s="121"/>
      <c r="R308" s="122"/>
      <c r="AC308" s="112"/>
    </row>
    <row r="309"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P309" s="121"/>
      <c r="R309" s="122"/>
      <c r="AC309" s="112"/>
    </row>
    <row r="310"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P310" s="121"/>
      <c r="R310" s="122"/>
      <c r="AC310" s="112"/>
    </row>
    <row r="311"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P311" s="121"/>
      <c r="R311" s="122"/>
      <c r="AC311" s="112"/>
    </row>
    <row r="312"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P312" s="121"/>
      <c r="R312" s="122"/>
      <c r="AC312" s="112"/>
    </row>
    <row r="313"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P313" s="121"/>
      <c r="R313" s="122"/>
      <c r="AC313" s="112"/>
    </row>
    <row r="314"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P314" s="121"/>
      <c r="R314" s="122"/>
      <c r="AC314" s="112"/>
    </row>
    <row r="315"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P315" s="121"/>
      <c r="R315" s="122"/>
      <c r="AC315" s="112"/>
    </row>
    <row r="316"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P316" s="121"/>
      <c r="R316" s="122"/>
      <c r="AC316" s="112"/>
    </row>
    <row r="317"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P317" s="121"/>
      <c r="R317" s="122"/>
      <c r="AC317" s="112"/>
    </row>
    <row r="318"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P318" s="121"/>
      <c r="R318" s="122"/>
      <c r="AC318" s="112"/>
    </row>
    <row r="319"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P319" s="121"/>
      <c r="R319" s="122"/>
      <c r="AC319" s="112"/>
    </row>
    <row r="320"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P320" s="121"/>
      <c r="R320" s="122"/>
      <c r="AC320" s="112"/>
    </row>
    <row r="321"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P321" s="121"/>
      <c r="R321" s="122"/>
      <c r="AC321" s="112"/>
    </row>
    <row r="322"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P322" s="121"/>
      <c r="R322" s="122"/>
      <c r="AC322" s="112"/>
    </row>
    <row r="323"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P323" s="121"/>
      <c r="R323" s="122"/>
      <c r="AC323" s="112"/>
    </row>
    <row r="324"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P324" s="121"/>
      <c r="R324" s="122"/>
      <c r="AC324" s="112"/>
    </row>
    <row r="325"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P325" s="121"/>
      <c r="R325" s="122"/>
      <c r="AC325" s="112"/>
    </row>
    <row r="326"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P326" s="121"/>
      <c r="R326" s="122"/>
      <c r="AC326" s="112"/>
    </row>
    <row r="327"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P327" s="121"/>
      <c r="R327" s="122"/>
      <c r="AC327" s="112"/>
    </row>
    <row r="328"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P328" s="121"/>
      <c r="R328" s="122"/>
      <c r="AC328" s="112"/>
    </row>
    <row r="329"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P329" s="121"/>
      <c r="R329" s="122"/>
      <c r="AC329" s="112"/>
    </row>
    <row r="330"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P330" s="121"/>
      <c r="R330" s="122"/>
      <c r="AC330" s="112"/>
    </row>
    <row r="331"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P331" s="121"/>
      <c r="R331" s="122"/>
      <c r="AC331" s="112"/>
    </row>
    <row r="332"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P332" s="121"/>
      <c r="R332" s="122"/>
      <c r="AC332" s="112"/>
    </row>
    <row r="333"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P333" s="121"/>
      <c r="R333" s="122"/>
      <c r="AC333" s="112"/>
    </row>
    <row r="334"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P334" s="121"/>
      <c r="R334" s="122"/>
      <c r="AC334" s="112"/>
    </row>
    <row r="335"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P335" s="121"/>
      <c r="R335" s="122"/>
      <c r="AC335" s="112"/>
    </row>
    <row r="336"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P336" s="121"/>
      <c r="R336" s="122"/>
      <c r="AC336" s="112"/>
    </row>
    <row r="337"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P337" s="121"/>
      <c r="R337" s="122"/>
      <c r="AC337" s="112"/>
    </row>
    <row r="338"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P338" s="121"/>
      <c r="R338" s="122"/>
      <c r="AC338" s="112"/>
    </row>
    <row r="339"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P339" s="121"/>
      <c r="R339" s="122"/>
      <c r="AC339" s="112"/>
    </row>
    <row r="340"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P340" s="121"/>
      <c r="R340" s="122"/>
      <c r="AC340" s="112"/>
    </row>
    <row r="341"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P341" s="121"/>
      <c r="R341" s="122"/>
      <c r="AC341" s="112"/>
    </row>
    <row r="342"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P342" s="121"/>
      <c r="R342" s="122"/>
      <c r="AC342" s="112"/>
    </row>
    <row r="343"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P343" s="121"/>
      <c r="R343" s="122"/>
      <c r="AC343" s="112"/>
    </row>
    <row r="344"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P344" s="121"/>
      <c r="R344" s="122"/>
      <c r="AC344" s="112"/>
    </row>
    <row r="345"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P345" s="121"/>
      <c r="R345" s="122"/>
      <c r="AC345" s="112"/>
    </row>
    <row r="346"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P346" s="121"/>
      <c r="R346" s="122"/>
      <c r="AC346" s="112"/>
    </row>
    <row r="347"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P347" s="121"/>
      <c r="R347" s="122"/>
      <c r="AC347" s="112"/>
    </row>
    <row r="348"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P348" s="121"/>
      <c r="R348" s="122"/>
      <c r="AC348" s="112"/>
    </row>
    <row r="349"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P349" s="121"/>
      <c r="R349" s="122"/>
      <c r="AC349" s="112"/>
    </row>
    <row r="350"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P350" s="121"/>
      <c r="R350" s="122"/>
      <c r="AC350" s="112"/>
    </row>
    <row r="351"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P351" s="121"/>
      <c r="R351" s="122"/>
      <c r="AC351" s="112"/>
    </row>
    <row r="352"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P352" s="121"/>
      <c r="R352" s="122"/>
      <c r="AC352" s="112"/>
    </row>
    <row r="353"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P353" s="121"/>
      <c r="R353" s="122"/>
      <c r="AC353" s="112"/>
    </row>
    <row r="354"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P354" s="121"/>
      <c r="R354" s="122"/>
      <c r="AC354" s="112"/>
    </row>
    <row r="355"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P355" s="121"/>
      <c r="R355" s="122"/>
      <c r="AC355" s="112"/>
    </row>
    <row r="356"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P356" s="121"/>
      <c r="R356" s="122"/>
      <c r="AC356" s="112"/>
    </row>
    <row r="357"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P357" s="121"/>
      <c r="R357" s="122"/>
      <c r="AC357" s="112"/>
    </row>
    <row r="358"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P358" s="121"/>
      <c r="R358" s="122"/>
      <c r="AC358" s="112"/>
    </row>
    <row r="359"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P359" s="121"/>
      <c r="R359" s="122"/>
      <c r="AC359" s="112"/>
    </row>
    <row r="360"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P360" s="121"/>
      <c r="R360" s="122"/>
      <c r="AC360" s="112"/>
    </row>
    <row r="361"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P361" s="121"/>
      <c r="R361" s="122"/>
      <c r="AC361" s="112"/>
    </row>
    <row r="362"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P362" s="121"/>
      <c r="R362" s="122"/>
      <c r="AC362" s="112"/>
    </row>
    <row r="363"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P363" s="121"/>
      <c r="R363" s="122"/>
      <c r="AC363" s="112"/>
    </row>
    <row r="364"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P364" s="121"/>
      <c r="R364" s="122"/>
      <c r="AC364" s="112"/>
    </row>
    <row r="365"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P365" s="121"/>
      <c r="R365" s="122"/>
      <c r="AC365" s="112"/>
    </row>
    <row r="366"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P366" s="121"/>
      <c r="R366" s="122"/>
      <c r="AC366" s="112"/>
    </row>
    <row r="367"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P367" s="121"/>
      <c r="R367" s="122"/>
      <c r="AC367" s="112"/>
    </row>
    <row r="368"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P368" s="121"/>
      <c r="R368" s="122"/>
      <c r="AC368" s="112"/>
    </row>
    <row r="369"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P369" s="121"/>
      <c r="R369" s="122"/>
      <c r="AC369" s="112"/>
    </row>
    <row r="370"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P370" s="121"/>
      <c r="R370" s="122"/>
      <c r="AC370" s="112"/>
    </row>
    <row r="371"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P371" s="121"/>
      <c r="R371" s="122"/>
      <c r="AC371" s="112"/>
    </row>
    <row r="372"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P372" s="121"/>
      <c r="R372" s="122"/>
      <c r="AC372" s="112"/>
    </row>
    <row r="373"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P373" s="121"/>
      <c r="R373" s="122"/>
      <c r="AC373" s="112"/>
    </row>
    <row r="374"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P374" s="121"/>
      <c r="R374" s="122"/>
      <c r="AC374" s="112"/>
    </row>
    <row r="375"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P375" s="121"/>
      <c r="R375" s="122"/>
      <c r="AC375" s="112"/>
    </row>
    <row r="376"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P376" s="121"/>
      <c r="R376" s="122"/>
      <c r="AC376" s="112"/>
    </row>
    <row r="377"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P377" s="121"/>
      <c r="R377" s="122"/>
      <c r="AC377" s="112"/>
    </row>
    <row r="378"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P378" s="121"/>
      <c r="R378" s="122"/>
      <c r="AC378" s="112"/>
    </row>
    <row r="379"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P379" s="121"/>
      <c r="R379" s="122"/>
      <c r="AC379" s="112"/>
    </row>
    <row r="380"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P380" s="121"/>
      <c r="R380" s="122"/>
      <c r="AC380" s="112"/>
    </row>
    <row r="381"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P381" s="121"/>
      <c r="R381" s="122"/>
      <c r="AC381" s="112"/>
    </row>
    <row r="382"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P382" s="121"/>
      <c r="R382" s="122"/>
      <c r="AC382" s="112"/>
    </row>
    <row r="383"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P383" s="121"/>
      <c r="R383" s="122"/>
      <c r="AC383" s="112"/>
    </row>
    <row r="384"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P384" s="121"/>
      <c r="R384" s="122"/>
      <c r="AC384" s="112"/>
    </row>
    <row r="385"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P385" s="121"/>
      <c r="R385" s="122"/>
      <c r="AC385" s="112"/>
    </row>
    <row r="386"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P386" s="121"/>
      <c r="R386" s="122"/>
      <c r="AC386" s="112"/>
    </row>
    <row r="387"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P387" s="121"/>
      <c r="R387" s="122"/>
      <c r="AC387" s="112"/>
    </row>
    <row r="388"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P388" s="121"/>
      <c r="R388" s="122"/>
      <c r="AC388" s="112"/>
    </row>
    <row r="389"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P389" s="121"/>
      <c r="R389" s="122"/>
      <c r="AC389" s="112"/>
    </row>
    <row r="390"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P390" s="121"/>
      <c r="R390" s="122"/>
      <c r="AC390" s="112"/>
    </row>
    <row r="391"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P391" s="121"/>
      <c r="R391" s="122"/>
      <c r="AC391" s="112"/>
    </row>
    <row r="392"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P392" s="121"/>
      <c r="R392" s="122"/>
      <c r="AC392" s="112"/>
    </row>
    <row r="393"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P393" s="121"/>
      <c r="R393" s="122"/>
      <c r="AC393" s="112"/>
    </row>
    <row r="394"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P394" s="121"/>
      <c r="R394" s="122"/>
      <c r="AC394" s="112"/>
    </row>
    <row r="395"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P395" s="121"/>
      <c r="R395" s="122"/>
      <c r="AC395" s="112"/>
    </row>
    <row r="396"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P396" s="121"/>
      <c r="R396" s="122"/>
      <c r="AC396" s="112"/>
    </row>
    <row r="397"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P397" s="121"/>
      <c r="R397" s="122"/>
      <c r="AC397" s="112"/>
    </row>
    <row r="398"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P398" s="121"/>
      <c r="R398" s="122"/>
      <c r="AC398" s="112"/>
    </row>
    <row r="399"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P399" s="121"/>
      <c r="R399" s="122"/>
      <c r="AC399" s="112"/>
    </row>
    <row r="400"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P400" s="121"/>
      <c r="R400" s="122"/>
      <c r="AC400" s="112"/>
    </row>
    <row r="401"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P401" s="121"/>
      <c r="R401" s="122"/>
      <c r="AC401" s="112"/>
    </row>
    <row r="402"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P402" s="121"/>
      <c r="R402" s="122"/>
      <c r="AC402" s="112"/>
    </row>
    <row r="403"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P403" s="121"/>
      <c r="R403" s="122"/>
      <c r="AC403" s="112"/>
    </row>
    <row r="404"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P404" s="121"/>
      <c r="R404" s="122"/>
      <c r="AC404" s="112"/>
    </row>
    <row r="405"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P405" s="121"/>
      <c r="R405" s="122"/>
      <c r="AC405" s="112"/>
    </row>
    <row r="406"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P406" s="121"/>
      <c r="R406" s="122"/>
      <c r="AC406" s="112"/>
    </row>
    <row r="407"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P407" s="121"/>
      <c r="R407" s="122"/>
      <c r="AC407" s="112"/>
    </row>
    <row r="408"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P408" s="121"/>
      <c r="R408" s="122"/>
      <c r="AC408" s="112"/>
    </row>
    <row r="409"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P409" s="121"/>
      <c r="R409" s="122"/>
      <c r="AC409" s="112"/>
    </row>
    <row r="410"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P410" s="121"/>
      <c r="R410" s="122"/>
      <c r="AC410" s="112"/>
    </row>
    <row r="411"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P411" s="121"/>
      <c r="R411" s="122"/>
      <c r="AC411" s="112"/>
    </row>
    <row r="412"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P412" s="121"/>
      <c r="R412" s="122"/>
      <c r="AC412" s="112"/>
    </row>
    <row r="413"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P413" s="121"/>
      <c r="R413" s="122"/>
      <c r="AC413" s="112"/>
    </row>
    <row r="414"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P414" s="121"/>
      <c r="R414" s="122"/>
      <c r="AC414" s="112"/>
    </row>
    <row r="415"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P415" s="121"/>
      <c r="R415" s="122"/>
      <c r="AC415" s="112"/>
    </row>
    <row r="416"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P416" s="121"/>
      <c r="R416" s="122"/>
      <c r="AC416" s="112"/>
    </row>
    <row r="417"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P417" s="121"/>
      <c r="R417" s="122"/>
      <c r="AC417" s="112"/>
    </row>
    <row r="418"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P418" s="121"/>
      <c r="R418" s="122"/>
      <c r="AC418" s="112"/>
    </row>
    <row r="419"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P419" s="121"/>
      <c r="R419" s="122"/>
      <c r="AC419" s="112"/>
    </row>
    <row r="420"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P420" s="121"/>
      <c r="R420" s="122"/>
      <c r="AC420" s="112"/>
    </row>
    <row r="421"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P421" s="121"/>
      <c r="R421" s="122"/>
      <c r="AC421" s="112"/>
    </row>
    <row r="422"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P422" s="121"/>
      <c r="R422" s="122"/>
      <c r="AC422" s="112"/>
    </row>
    <row r="423"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P423" s="121"/>
      <c r="R423" s="122"/>
      <c r="AC423" s="112"/>
    </row>
    <row r="424"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P424" s="121"/>
      <c r="R424" s="122"/>
      <c r="AC424" s="112"/>
    </row>
    <row r="425"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P425" s="121"/>
      <c r="R425" s="122"/>
      <c r="AC425" s="112"/>
    </row>
    <row r="426"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P426" s="121"/>
      <c r="R426" s="122"/>
      <c r="AC426" s="112"/>
    </row>
    <row r="427"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P427" s="121"/>
      <c r="R427" s="122"/>
      <c r="AC427" s="112"/>
    </row>
    <row r="428"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P428" s="121"/>
      <c r="R428" s="122"/>
      <c r="AC428" s="112"/>
    </row>
    <row r="429"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P429" s="121"/>
      <c r="R429" s="122"/>
      <c r="AC429" s="112"/>
    </row>
    <row r="430"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P430" s="121"/>
      <c r="R430" s="122"/>
      <c r="AC430" s="112"/>
    </row>
    <row r="431"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P431" s="121"/>
      <c r="R431" s="122"/>
      <c r="AC431" s="112"/>
    </row>
    <row r="432"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P432" s="121"/>
      <c r="R432" s="122"/>
      <c r="AC432" s="112"/>
    </row>
    <row r="433"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P433" s="121"/>
      <c r="R433" s="122"/>
      <c r="AC433" s="112"/>
    </row>
    <row r="434"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P434" s="121"/>
      <c r="R434" s="122"/>
      <c r="AC434" s="112"/>
    </row>
    <row r="435"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P435" s="121"/>
      <c r="R435" s="122"/>
      <c r="AC435" s="112"/>
    </row>
    <row r="436"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P436" s="121"/>
      <c r="R436" s="122"/>
      <c r="AC436" s="112"/>
    </row>
    <row r="437"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P437" s="121"/>
      <c r="R437" s="122"/>
      <c r="AC437" s="112"/>
    </row>
    <row r="438"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P438" s="121"/>
      <c r="R438" s="122"/>
      <c r="AC438" s="112"/>
    </row>
    <row r="439"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P439" s="121"/>
      <c r="R439" s="122"/>
      <c r="AC439" s="112"/>
    </row>
    <row r="440"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P440" s="121"/>
      <c r="R440" s="122"/>
      <c r="AC440" s="112"/>
    </row>
    <row r="441"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P441" s="121"/>
      <c r="R441" s="122"/>
      <c r="AC441" s="112"/>
    </row>
    <row r="442"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P442" s="121"/>
      <c r="R442" s="122"/>
      <c r="AC442" s="112"/>
    </row>
    <row r="443"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P443" s="121"/>
      <c r="R443" s="122"/>
      <c r="AC443" s="112"/>
    </row>
    <row r="444"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P444" s="121"/>
      <c r="R444" s="122"/>
      <c r="AC444" s="112"/>
    </row>
    <row r="445"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P445" s="121"/>
      <c r="R445" s="122"/>
      <c r="AC445" s="112"/>
    </row>
    <row r="446"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P446" s="121"/>
      <c r="R446" s="122"/>
      <c r="AC446" s="112"/>
    </row>
    <row r="447"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P447" s="121"/>
      <c r="R447" s="122"/>
      <c r="AC447" s="112"/>
    </row>
    <row r="448"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P448" s="121"/>
      <c r="R448" s="122"/>
      <c r="AC448" s="112"/>
    </row>
    <row r="449"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P449" s="121"/>
      <c r="R449" s="122"/>
      <c r="AC449" s="112"/>
    </row>
    <row r="450"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P450" s="121"/>
      <c r="R450" s="122"/>
      <c r="AC450" s="112"/>
    </row>
    <row r="451"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P451" s="121"/>
      <c r="R451" s="122"/>
      <c r="AC451" s="112"/>
    </row>
    <row r="452"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P452" s="121"/>
      <c r="R452" s="122"/>
      <c r="AC452" s="112"/>
    </row>
    <row r="453"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P453" s="121"/>
      <c r="R453" s="122"/>
      <c r="AC453" s="112"/>
    </row>
    <row r="454"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P454" s="121"/>
      <c r="R454" s="122"/>
      <c r="AC454" s="112"/>
    </row>
    <row r="455"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P455" s="121"/>
      <c r="R455" s="122"/>
      <c r="AC455" s="112"/>
    </row>
    <row r="456"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P456" s="121"/>
      <c r="R456" s="122"/>
      <c r="AC456" s="112"/>
    </row>
    <row r="457"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P457" s="121"/>
      <c r="R457" s="122"/>
      <c r="AC457" s="112"/>
    </row>
    <row r="458"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P458" s="121"/>
      <c r="R458" s="122"/>
      <c r="AC458" s="112"/>
    </row>
    <row r="459"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P459" s="121"/>
      <c r="R459" s="122"/>
      <c r="AC459" s="112"/>
    </row>
    <row r="460"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P460" s="121"/>
      <c r="R460" s="122"/>
      <c r="AC460" s="112"/>
    </row>
    <row r="461"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P461" s="121"/>
      <c r="R461" s="122"/>
      <c r="AC461" s="112"/>
    </row>
    <row r="462"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P462" s="121"/>
      <c r="R462" s="122"/>
      <c r="AC462" s="112"/>
    </row>
    <row r="463"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P463" s="121"/>
      <c r="R463" s="122"/>
      <c r="AC463" s="112"/>
    </row>
    <row r="464"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P464" s="121"/>
      <c r="R464" s="122"/>
      <c r="AC464" s="112"/>
    </row>
    <row r="465"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P465" s="121"/>
      <c r="R465" s="122"/>
      <c r="AC465" s="112"/>
    </row>
    <row r="466"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P466" s="121"/>
      <c r="R466" s="122"/>
      <c r="AC466" s="112"/>
    </row>
    <row r="467"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P467" s="121"/>
      <c r="R467" s="122"/>
      <c r="AC467" s="112"/>
    </row>
    <row r="468"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P468" s="121"/>
      <c r="R468" s="122"/>
      <c r="AC468" s="112"/>
    </row>
    <row r="469"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P469" s="121"/>
      <c r="R469" s="122"/>
      <c r="AC469" s="112"/>
    </row>
    <row r="470"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P470" s="121"/>
      <c r="R470" s="122"/>
      <c r="AC470" s="112"/>
    </row>
    <row r="471"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P471" s="121"/>
      <c r="R471" s="122"/>
      <c r="AC471" s="112"/>
    </row>
    <row r="472"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P472" s="121"/>
      <c r="R472" s="122"/>
      <c r="AC472" s="112"/>
    </row>
    <row r="473"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P473" s="121"/>
      <c r="R473" s="122"/>
      <c r="AC473" s="112"/>
    </row>
    <row r="474"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P474" s="121"/>
      <c r="R474" s="122"/>
      <c r="AC474" s="112"/>
    </row>
    <row r="475"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P475" s="121"/>
      <c r="R475" s="122"/>
      <c r="AC475" s="112"/>
    </row>
    <row r="476"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P476" s="121"/>
      <c r="R476" s="122"/>
      <c r="AC476" s="112"/>
    </row>
    <row r="477"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P477" s="121"/>
      <c r="R477" s="122"/>
      <c r="AC477" s="112"/>
    </row>
    <row r="478"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P478" s="121"/>
      <c r="R478" s="122"/>
      <c r="AC478" s="112"/>
    </row>
    <row r="479"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P479" s="121"/>
      <c r="R479" s="122"/>
      <c r="AC479" s="112"/>
    </row>
    <row r="480"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P480" s="121"/>
      <c r="R480" s="122"/>
      <c r="AC480" s="112"/>
    </row>
    <row r="481"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P481" s="121"/>
      <c r="R481" s="122"/>
      <c r="AC481" s="112"/>
    </row>
    <row r="482"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P482" s="121"/>
      <c r="R482" s="122"/>
      <c r="AC482" s="112"/>
    </row>
    <row r="483"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P483" s="121"/>
      <c r="R483" s="122"/>
      <c r="AC483" s="112"/>
    </row>
    <row r="484"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P484" s="121"/>
      <c r="R484" s="122"/>
      <c r="AC484" s="112"/>
    </row>
    <row r="485"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P485" s="121"/>
      <c r="R485" s="122"/>
      <c r="AC485" s="112"/>
    </row>
    <row r="486"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P486" s="121"/>
      <c r="R486" s="122"/>
      <c r="AC486" s="112"/>
    </row>
    <row r="487"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P487" s="121"/>
      <c r="R487" s="122"/>
      <c r="AC487" s="112"/>
    </row>
    <row r="488"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P488" s="121"/>
      <c r="R488" s="122"/>
      <c r="AC488" s="112"/>
    </row>
    <row r="489"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P489" s="121"/>
      <c r="R489" s="122"/>
      <c r="AC489" s="112"/>
    </row>
    <row r="490"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P490" s="121"/>
      <c r="R490" s="122"/>
      <c r="AC490" s="112"/>
    </row>
    <row r="491"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P491" s="121"/>
      <c r="R491" s="122"/>
      <c r="AC491" s="112"/>
    </row>
    <row r="492"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P492" s="121"/>
      <c r="R492" s="122"/>
      <c r="AC492" s="112"/>
    </row>
    <row r="493"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P493" s="121"/>
      <c r="R493" s="122"/>
      <c r="AC493" s="112"/>
    </row>
    <row r="494"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P494" s="121"/>
      <c r="R494" s="122"/>
      <c r="AC494" s="112"/>
    </row>
    <row r="495"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P495" s="121"/>
      <c r="R495" s="122"/>
      <c r="AC495" s="112"/>
    </row>
    <row r="496"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P496" s="121"/>
      <c r="R496" s="122"/>
      <c r="AC496" s="112"/>
    </row>
    <row r="497"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P497" s="121"/>
      <c r="R497" s="122"/>
      <c r="AC497" s="112"/>
    </row>
    <row r="498"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P498" s="121"/>
      <c r="R498" s="122"/>
      <c r="AC498" s="112"/>
    </row>
    <row r="499"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P499" s="121"/>
      <c r="R499" s="122"/>
      <c r="AC499" s="112"/>
    </row>
    <row r="500"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P500" s="121"/>
      <c r="R500" s="122"/>
      <c r="AC500" s="112"/>
    </row>
    <row r="501"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P501" s="121"/>
      <c r="R501" s="122"/>
      <c r="AC501" s="112"/>
    </row>
    <row r="502"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P502" s="121"/>
      <c r="R502" s="122"/>
      <c r="AC502" s="112"/>
    </row>
    <row r="503"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P503" s="121"/>
      <c r="R503" s="122"/>
      <c r="AC503" s="112"/>
    </row>
    <row r="504"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P504" s="121"/>
      <c r="R504" s="122"/>
      <c r="AC504" s="112"/>
    </row>
    <row r="505"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P505" s="121"/>
      <c r="R505" s="122"/>
      <c r="AC505" s="112"/>
    </row>
    <row r="506"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P506" s="121"/>
      <c r="R506" s="122"/>
      <c r="AC506" s="112"/>
    </row>
    <row r="507"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P507" s="121"/>
      <c r="R507" s="122"/>
      <c r="AC507" s="112"/>
    </row>
    <row r="508"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P508" s="121"/>
      <c r="R508" s="122"/>
      <c r="AC508" s="112"/>
    </row>
    <row r="509"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P509" s="121"/>
      <c r="R509" s="122"/>
      <c r="AC509" s="112"/>
    </row>
    <row r="510"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P510" s="121"/>
      <c r="R510" s="122"/>
      <c r="AC510" s="112"/>
    </row>
    <row r="511"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P511" s="121"/>
      <c r="R511" s="122"/>
      <c r="AC511" s="112"/>
    </row>
    <row r="512"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P512" s="121"/>
      <c r="R512" s="122"/>
      <c r="AC512" s="112"/>
    </row>
    <row r="513"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P513" s="121"/>
      <c r="R513" s="122"/>
      <c r="AC513" s="112"/>
    </row>
    <row r="514"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P514" s="121"/>
      <c r="R514" s="122"/>
      <c r="AC514" s="112"/>
    </row>
    <row r="515"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P515" s="121"/>
      <c r="R515" s="122"/>
      <c r="AC515" s="112"/>
    </row>
    <row r="516"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P516" s="121"/>
      <c r="R516" s="122"/>
      <c r="AC516" s="112"/>
    </row>
    <row r="517"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P517" s="121"/>
      <c r="R517" s="122"/>
      <c r="AC517" s="112"/>
    </row>
    <row r="518"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P518" s="121"/>
      <c r="R518" s="122"/>
      <c r="AC518" s="112"/>
    </row>
    <row r="519"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P519" s="121"/>
      <c r="R519" s="122"/>
      <c r="AC519" s="112"/>
    </row>
    <row r="520"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P520" s="121"/>
      <c r="R520" s="122"/>
      <c r="AC520" s="112"/>
    </row>
    <row r="521"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P521" s="121"/>
      <c r="R521" s="122"/>
      <c r="AC521" s="112"/>
    </row>
    <row r="522"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P522" s="121"/>
      <c r="R522" s="122"/>
      <c r="AC522" s="112"/>
    </row>
    <row r="523"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P523" s="121"/>
      <c r="R523" s="122"/>
      <c r="AC523" s="112"/>
    </row>
    <row r="524"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P524" s="121"/>
      <c r="R524" s="122"/>
      <c r="AC524" s="112"/>
    </row>
    <row r="525"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P525" s="121"/>
      <c r="R525" s="122"/>
      <c r="AC525" s="112"/>
    </row>
    <row r="526"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P526" s="121"/>
      <c r="R526" s="122"/>
      <c r="AC526" s="112"/>
    </row>
    <row r="527"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P527" s="121"/>
      <c r="R527" s="122"/>
      <c r="AC527" s="112"/>
    </row>
    <row r="528"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P528" s="121"/>
      <c r="R528" s="122"/>
      <c r="AC528" s="112"/>
    </row>
    <row r="529"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P529" s="121"/>
      <c r="R529" s="122"/>
      <c r="AC529" s="112"/>
    </row>
    <row r="530"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P530" s="121"/>
      <c r="R530" s="122"/>
      <c r="AC530" s="112"/>
    </row>
    <row r="531"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P531" s="121"/>
      <c r="R531" s="122"/>
      <c r="AC531" s="112"/>
    </row>
    <row r="532"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P532" s="121"/>
      <c r="R532" s="122"/>
      <c r="AC532" s="112"/>
    </row>
    <row r="533"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P533" s="121"/>
      <c r="R533" s="122"/>
      <c r="AC533" s="112"/>
    </row>
    <row r="534"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P534" s="121"/>
      <c r="R534" s="122"/>
      <c r="AC534" s="112"/>
    </row>
    <row r="535"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P535" s="121"/>
      <c r="R535" s="122"/>
      <c r="AC535" s="112"/>
    </row>
    <row r="536"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P536" s="121"/>
      <c r="R536" s="122"/>
      <c r="AC536" s="112"/>
    </row>
    <row r="537"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P537" s="121"/>
      <c r="R537" s="122"/>
      <c r="AC537" s="112"/>
    </row>
    <row r="538"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P538" s="121"/>
      <c r="R538" s="122"/>
      <c r="AC538" s="112"/>
    </row>
    <row r="539"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P539" s="121"/>
      <c r="R539" s="122"/>
      <c r="AC539" s="112"/>
    </row>
    <row r="540"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P540" s="121"/>
      <c r="R540" s="122"/>
      <c r="AC540" s="112"/>
    </row>
    <row r="541"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P541" s="121"/>
      <c r="R541" s="122"/>
      <c r="AC541" s="112"/>
    </row>
    <row r="542"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P542" s="121"/>
      <c r="R542" s="122"/>
      <c r="AC542" s="112"/>
    </row>
    <row r="543"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P543" s="121"/>
      <c r="R543" s="122"/>
      <c r="AC543" s="112"/>
    </row>
    <row r="544"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P544" s="121"/>
      <c r="R544" s="122"/>
      <c r="AC544" s="112"/>
    </row>
    <row r="545"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P545" s="121"/>
      <c r="R545" s="122"/>
      <c r="AC545" s="112"/>
    </row>
    <row r="546"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P546" s="121"/>
      <c r="R546" s="122"/>
      <c r="AC546" s="112"/>
    </row>
    <row r="547"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P547" s="121"/>
      <c r="R547" s="122"/>
      <c r="AC547" s="112"/>
    </row>
    <row r="548"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P548" s="121"/>
      <c r="R548" s="122"/>
      <c r="AC548" s="112"/>
    </row>
    <row r="549"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P549" s="121"/>
      <c r="R549" s="122"/>
      <c r="AC549" s="112"/>
    </row>
    <row r="550"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P550" s="121"/>
      <c r="R550" s="122"/>
      <c r="AC550" s="112"/>
    </row>
    <row r="551"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P551" s="121"/>
      <c r="R551" s="122"/>
      <c r="AC551" s="112"/>
    </row>
    <row r="552"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P552" s="121"/>
      <c r="R552" s="122"/>
      <c r="AC552" s="112"/>
    </row>
    <row r="553"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P553" s="121"/>
      <c r="R553" s="122"/>
      <c r="AC553" s="112"/>
    </row>
    <row r="554"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P554" s="121"/>
      <c r="R554" s="122"/>
      <c r="AC554" s="112"/>
    </row>
    <row r="555"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P555" s="121"/>
      <c r="R555" s="122"/>
      <c r="AC555" s="112"/>
    </row>
    <row r="556"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P556" s="121"/>
      <c r="R556" s="122"/>
      <c r="AC556" s="112"/>
    </row>
    <row r="557"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P557" s="121"/>
      <c r="R557" s="122"/>
      <c r="AC557" s="112"/>
    </row>
    <row r="558"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P558" s="121"/>
      <c r="R558" s="122"/>
      <c r="AC558" s="112"/>
    </row>
    <row r="559"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P559" s="121"/>
      <c r="R559" s="122"/>
      <c r="AC559" s="112"/>
    </row>
    <row r="560"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P560" s="121"/>
      <c r="R560" s="122"/>
      <c r="AC560" s="112"/>
    </row>
    <row r="561"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P561" s="121"/>
      <c r="R561" s="122"/>
      <c r="AC561" s="112"/>
    </row>
    <row r="562"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P562" s="121"/>
      <c r="R562" s="122"/>
      <c r="AC562" s="112"/>
    </row>
    <row r="563"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P563" s="121"/>
      <c r="R563" s="122"/>
      <c r="AC563" s="112"/>
    </row>
    <row r="564"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P564" s="121"/>
      <c r="R564" s="122"/>
      <c r="AC564" s="112"/>
    </row>
    <row r="565"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P565" s="121"/>
      <c r="R565" s="122"/>
      <c r="AC565" s="112"/>
    </row>
    <row r="566"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P566" s="121"/>
      <c r="R566" s="122"/>
      <c r="AC566" s="112"/>
    </row>
    <row r="567"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P567" s="121"/>
      <c r="R567" s="122"/>
      <c r="AC567" s="112"/>
    </row>
    <row r="568"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P568" s="121"/>
      <c r="R568" s="122"/>
      <c r="AC568" s="112"/>
    </row>
    <row r="569"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P569" s="121"/>
      <c r="R569" s="122"/>
      <c r="AC569" s="112"/>
    </row>
    <row r="570"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P570" s="121"/>
      <c r="R570" s="122"/>
      <c r="AC570" s="112"/>
    </row>
    <row r="571"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P571" s="121"/>
      <c r="R571" s="122"/>
      <c r="AC571" s="112"/>
    </row>
    <row r="572"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P572" s="121"/>
      <c r="R572" s="122"/>
      <c r="AC572" s="112"/>
    </row>
    <row r="573"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P573" s="121"/>
      <c r="R573" s="122"/>
      <c r="AC573" s="112"/>
    </row>
    <row r="574"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P574" s="121"/>
      <c r="R574" s="122"/>
      <c r="AC574" s="112"/>
    </row>
    <row r="575"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P575" s="121"/>
      <c r="R575" s="122"/>
      <c r="AC575" s="112"/>
    </row>
    <row r="576"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P576" s="121"/>
      <c r="R576" s="122"/>
      <c r="AC576" s="112"/>
    </row>
    <row r="577"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P577" s="121"/>
      <c r="R577" s="122"/>
      <c r="AC577" s="112"/>
    </row>
    <row r="578"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P578" s="121"/>
      <c r="R578" s="122"/>
      <c r="AC578" s="112"/>
    </row>
    <row r="579"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P579" s="121"/>
      <c r="R579" s="122"/>
      <c r="AC579" s="112"/>
    </row>
    <row r="580"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P580" s="121"/>
      <c r="R580" s="122"/>
      <c r="AC580" s="112"/>
    </row>
    <row r="581"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P581" s="121"/>
      <c r="R581" s="122"/>
      <c r="AC581" s="112"/>
    </row>
    <row r="582"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P582" s="121"/>
      <c r="R582" s="122"/>
      <c r="AC582" s="112"/>
    </row>
    <row r="583"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P583" s="121"/>
      <c r="R583" s="122"/>
      <c r="AC583" s="112"/>
    </row>
    <row r="584"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P584" s="121"/>
      <c r="R584" s="122"/>
      <c r="AC584" s="112"/>
    </row>
    <row r="585"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P585" s="121"/>
      <c r="R585" s="122"/>
      <c r="AC585" s="112"/>
    </row>
    <row r="586"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P586" s="121"/>
      <c r="R586" s="122"/>
      <c r="AC586" s="112"/>
    </row>
    <row r="587"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P587" s="121"/>
      <c r="R587" s="122"/>
      <c r="AC587" s="112"/>
    </row>
    <row r="588"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P588" s="121"/>
      <c r="R588" s="122"/>
      <c r="AC588" s="112"/>
    </row>
    <row r="589"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P589" s="121"/>
      <c r="R589" s="122"/>
      <c r="AC589" s="112"/>
    </row>
    <row r="590"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P590" s="121"/>
      <c r="R590" s="122"/>
      <c r="AC590" s="112"/>
    </row>
    <row r="591"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P591" s="121"/>
      <c r="R591" s="122"/>
      <c r="AC591" s="112"/>
    </row>
    <row r="592"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P592" s="121"/>
      <c r="R592" s="122"/>
      <c r="AC592" s="112"/>
    </row>
    <row r="593"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P593" s="121"/>
      <c r="R593" s="122"/>
      <c r="AC593" s="112"/>
    </row>
    <row r="594"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P594" s="121"/>
      <c r="R594" s="122"/>
      <c r="AC594" s="112"/>
    </row>
    <row r="595"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P595" s="121"/>
      <c r="R595" s="122"/>
      <c r="AC595" s="112"/>
    </row>
    <row r="596"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P596" s="121"/>
      <c r="R596" s="122"/>
      <c r="AC596" s="112"/>
    </row>
    <row r="597"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P597" s="121"/>
      <c r="R597" s="122"/>
      <c r="AC597" s="112"/>
    </row>
    <row r="598"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P598" s="121"/>
      <c r="R598" s="122"/>
      <c r="AC598" s="112"/>
    </row>
    <row r="599"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P599" s="121"/>
      <c r="R599" s="122"/>
      <c r="AC599" s="112"/>
    </row>
    <row r="600"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P600" s="121"/>
      <c r="R600" s="122"/>
      <c r="AC600" s="112"/>
    </row>
    <row r="601"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P601" s="121"/>
      <c r="R601" s="122"/>
      <c r="AC601" s="112"/>
    </row>
    <row r="602"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P602" s="121"/>
      <c r="R602" s="122"/>
      <c r="AC602" s="112"/>
    </row>
    <row r="603"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P603" s="121"/>
      <c r="R603" s="122"/>
      <c r="AC603" s="112"/>
    </row>
    <row r="604"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P604" s="121"/>
      <c r="R604" s="122"/>
      <c r="AC604" s="112"/>
    </row>
    <row r="605"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P605" s="121"/>
      <c r="R605" s="122"/>
      <c r="AC605" s="112"/>
    </row>
    <row r="606"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P606" s="121"/>
      <c r="R606" s="122"/>
      <c r="AC606" s="112"/>
    </row>
    <row r="607"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P607" s="121"/>
      <c r="R607" s="122"/>
      <c r="AC607" s="112"/>
    </row>
    <row r="608"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P608" s="121"/>
      <c r="R608" s="122"/>
      <c r="AC608" s="112"/>
    </row>
    <row r="609"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P609" s="121"/>
      <c r="R609" s="122"/>
      <c r="AC609" s="112"/>
    </row>
    <row r="610"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P610" s="121"/>
      <c r="R610" s="122"/>
      <c r="AC610" s="112"/>
    </row>
    <row r="611"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P611" s="121"/>
      <c r="R611" s="122"/>
      <c r="AC611" s="112"/>
    </row>
    <row r="612"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P612" s="121"/>
      <c r="R612" s="122"/>
      <c r="AC612" s="112"/>
    </row>
    <row r="613"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P613" s="121"/>
      <c r="R613" s="122"/>
      <c r="AC613" s="112"/>
    </row>
    <row r="614"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P614" s="121"/>
      <c r="R614" s="122"/>
      <c r="AC614" s="112"/>
    </row>
    <row r="615"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P615" s="121"/>
      <c r="R615" s="122"/>
      <c r="AC615" s="112"/>
    </row>
    <row r="616"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P616" s="121"/>
      <c r="R616" s="122"/>
      <c r="AC616" s="112"/>
    </row>
    <row r="617"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P617" s="121"/>
      <c r="R617" s="122"/>
      <c r="AC617" s="112"/>
    </row>
    <row r="618"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P618" s="121"/>
      <c r="R618" s="122"/>
      <c r="AC618" s="112"/>
    </row>
    <row r="619"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P619" s="121"/>
      <c r="R619" s="122"/>
      <c r="AC619" s="112"/>
    </row>
    <row r="620"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P620" s="121"/>
      <c r="R620" s="122"/>
      <c r="AC620" s="112"/>
    </row>
    <row r="621"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P621" s="121"/>
      <c r="R621" s="122"/>
      <c r="AC621" s="112"/>
    </row>
    <row r="622"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P622" s="121"/>
      <c r="R622" s="122"/>
      <c r="AC622" s="112"/>
    </row>
    <row r="623"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P623" s="121"/>
      <c r="R623" s="122"/>
      <c r="AC623" s="112"/>
    </row>
    <row r="624"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P624" s="121"/>
      <c r="R624" s="122"/>
      <c r="AC624" s="112"/>
    </row>
    <row r="625"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P625" s="121"/>
      <c r="R625" s="122"/>
      <c r="AC625" s="112"/>
    </row>
    <row r="626"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P626" s="121"/>
      <c r="R626" s="122"/>
      <c r="AC626" s="112"/>
    </row>
    <row r="627"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P627" s="121"/>
      <c r="R627" s="122"/>
      <c r="AC627" s="112"/>
    </row>
    <row r="628"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P628" s="121"/>
      <c r="R628" s="122"/>
      <c r="AC628" s="112"/>
    </row>
    <row r="629"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P629" s="121"/>
      <c r="R629" s="122"/>
      <c r="AC629" s="112"/>
    </row>
    <row r="630"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P630" s="121"/>
      <c r="R630" s="122"/>
      <c r="AC630" s="112"/>
    </row>
    <row r="631"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P631" s="121"/>
      <c r="R631" s="122"/>
      <c r="AC631" s="112"/>
    </row>
    <row r="632"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P632" s="121"/>
      <c r="R632" s="122"/>
      <c r="AC632" s="112"/>
    </row>
    <row r="633"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P633" s="121"/>
      <c r="R633" s="122"/>
      <c r="AC633" s="112"/>
    </row>
    <row r="634"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P634" s="121"/>
      <c r="R634" s="122"/>
      <c r="AC634" s="112"/>
    </row>
    <row r="635"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P635" s="121"/>
      <c r="R635" s="122"/>
      <c r="AC635" s="112"/>
    </row>
    <row r="636"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P636" s="121"/>
      <c r="R636" s="122"/>
      <c r="AC636" s="112"/>
    </row>
    <row r="637"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P637" s="121"/>
      <c r="R637" s="122"/>
      <c r="AC637" s="112"/>
    </row>
    <row r="638"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P638" s="121"/>
      <c r="R638" s="122"/>
      <c r="AC638" s="112"/>
    </row>
    <row r="639"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P639" s="121"/>
      <c r="R639" s="122"/>
      <c r="AC639" s="112"/>
    </row>
    <row r="640"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P640" s="121"/>
      <c r="R640" s="122"/>
      <c r="AC640" s="112"/>
    </row>
    <row r="641"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P641" s="121"/>
      <c r="R641" s="122"/>
      <c r="AC641" s="112"/>
    </row>
    <row r="642"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P642" s="121"/>
      <c r="R642" s="122"/>
      <c r="AC642" s="112"/>
    </row>
    <row r="643"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P643" s="121"/>
      <c r="R643" s="122"/>
      <c r="AC643" s="112"/>
    </row>
    <row r="644"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P644" s="121"/>
      <c r="R644" s="122"/>
      <c r="AC644" s="112"/>
    </row>
    <row r="645"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P645" s="121"/>
      <c r="R645" s="122"/>
      <c r="AC645" s="112"/>
    </row>
    <row r="646"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P646" s="121"/>
      <c r="R646" s="122"/>
      <c r="AC646" s="112"/>
    </row>
    <row r="647"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P647" s="121"/>
      <c r="R647" s="122"/>
      <c r="AC647" s="112"/>
    </row>
    <row r="648"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P648" s="121"/>
      <c r="R648" s="122"/>
      <c r="AC648" s="112"/>
    </row>
    <row r="649"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P649" s="121"/>
      <c r="R649" s="122"/>
      <c r="AC649" s="112"/>
    </row>
    <row r="650"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P650" s="121"/>
      <c r="R650" s="122"/>
      <c r="AC650" s="112"/>
    </row>
    <row r="651"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P651" s="121"/>
      <c r="R651" s="122"/>
      <c r="AC651" s="112"/>
    </row>
    <row r="652"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P652" s="121"/>
      <c r="R652" s="122"/>
      <c r="AC652" s="112"/>
    </row>
    <row r="653"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P653" s="121"/>
      <c r="R653" s="122"/>
      <c r="AC653" s="112"/>
    </row>
    <row r="654"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P654" s="121"/>
      <c r="R654" s="122"/>
      <c r="AC654" s="112"/>
    </row>
    <row r="655"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P655" s="121"/>
      <c r="R655" s="122"/>
      <c r="AC655" s="112"/>
    </row>
    <row r="656"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P656" s="121"/>
      <c r="R656" s="122"/>
      <c r="AC656" s="112"/>
    </row>
    <row r="657"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P657" s="121"/>
      <c r="R657" s="122"/>
      <c r="AC657" s="112"/>
    </row>
    <row r="658"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P658" s="121"/>
      <c r="R658" s="122"/>
      <c r="AC658" s="112"/>
    </row>
    <row r="659"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P659" s="121"/>
      <c r="R659" s="122"/>
      <c r="AC659" s="112"/>
    </row>
    <row r="660"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P660" s="121"/>
      <c r="R660" s="122"/>
      <c r="AC660" s="112"/>
    </row>
    <row r="661"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P661" s="121"/>
      <c r="R661" s="122"/>
      <c r="AC661" s="112"/>
    </row>
    <row r="662"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P662" s="121"/>
      <c r="R662" s="122"/>
      <c r="AC662" s="112"/>
    </row>
    <row r="663"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P663" s="121"/>
      <c r="R663" s="122"/>
      <c r="AC663" s="112"/>
    </row>
    <row r="664"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P664" s="121"/>
      <c r="R664" s="122"/>
      <c r="AC664" s="112"/>
    </row>
    <row r="665"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P665" s="121"/>
      <c r="R665" s="122"/>
      <c r="AC665" s="112"/>
    </row>
    <row r="666"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P666" s="121"/>
      <c r="R666" s="122"/>
      <c r="AC666" s="112"/>
    </row>
    <row r="667"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P667" s="121"/>
      <c r="R667" s="122"/>
      <c r="AC667" s="112"/>
    </row>
    <row r="668"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P668" s="121"/>
      <c r="R668" s="122"/>
      <c r="AC668" s="112"/>
    </row>
    <row r="669"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P669" s="121"/>
      <c r="R669" s="122"/>
      <c r="AC669" s="112"/>
    </row>
    <row r="670"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P670" s="121"/>
      <c r="R670" s="122"/>
      <c r="AC670" s="112"/>
    </row>
    <row r="671"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P671" s="121"/>
      <c r="R671" s="122"/>
      <c r="AC671" s="112"/>
    </row>
    <row r="672"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P672" s="121"/>
      <c r="R672" s="122"/>
      <c r="AC672" s="112"/>
    </row>
    <row r="673"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P673" s="121"/>
      <c r="R673" s="122"/>
      <c r="AC673" s="112"/>
    </row>
    <row r="674"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P674" s="121"/>
      <c r="R674" s="122"/>
      <c r="AC674" s="112"/>
    </row>
    <row r="675"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P675" s="121"/>
      <c r="R675" s="122"/>
      <c r="AC675" s="112"/>
    </row>
    <row r="676"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P676" s="121"/>
      <c r="R676" s="122"/>
      <c r="AC676" s="112"/>
    </row>
    <row r="677"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P677" s="121"/>
      <c r="R677" s="122"/>
      <c r="AC677" s="112"/>
    </row>
    <row r="678"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P678" s="121"/>
      <c r="R678" s="122"/>
      <c r="AC678" s="112"/>
    </row>
    <row r="679"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P679" s="121"/>
      <c r="R679" s="122"/>
      <c r="AC679" s="112"/>
    </row>
    <row r="680"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P680" s="121"/>
      <c r="R680" s="122"/>
      <c r="AC680" s="112"/>
    </row>
    <row r="681"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P681" s="121"/>
      <c r="R681" s="122"/>
      <c r="AC681" s="112"/>
    </row>
    <row r="682"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P682" s="121"/>
      <c r="R682" s="122"/>
      <c r="AC682" s="112"/>
    </row>
    <row r="683"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P683" s="121"/>
      <c r="R683" s="122"/>
      <c r="AC683" s="112"/>
    </row>
    <row r="684"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P684" s="121"/>
      <c r="R684" s="122"/>
      <c r="AC684" s="112"/>
    </row>
    <row r="685"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P685" s="121"/>
      <c r="R685" s="122"/>
      <c r="AC685" s="112"/>
    </row>
    <row r="686"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P686" s="121"/>
      <c r="R686" s="122"/>
      <c r="AC686" s="112"/>
    </row>
    <row r="687"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P687" s="121"/>
      <c r="R687" s="122"/>
      <c r="AC687" s="112"/>
    </row>
    <row r="688"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P688" s="121"/>
      <c r="R688" s="122"/>
      <c r="AC688" s="112"/>
    </row>
    <row r="689"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P689" s="121"/>
      <c r="R689" s="122"/>
      <c r="AC689" s="112"/>
    </row>
    <row r="690"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P690" s="121"/>
      <c r="R690" s="122"/>
      <c r="AC690" s="112"/>
    </row>
    <row r="691"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P691" s="121"/>
      <c r="R691" s="122"/>
      <c r="AC691" s="112"/>
    </row>
    <row r="692"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P692" s="121"/>
      <c r="R692" s="122"/>
      <c r="AC692" s="112"/>
    </row>
    <row r="693"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P693" s="121"/>
      <c r="R693" s="122"/>
      <c r="AC693" s="112"/>
    </row>
    <row r="694"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P694" s="121"/>
      <c r="R694" s="122"/>
      <c r="AC694" s="112"/>
    </row>
    <row r="695"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P695" s="121"/>
      <c r="R695" s="122"/>
      <c r="AC695" s="112"/>
    </row>
    <row r="696"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P696" s="121"/>
      <c r="R696" s="122"/>
      <c r="AC696" s="112"/>
    </row>
    <row r="697"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P697" s="121"/>
      <c r="R697" s="122"/>
      <c r="AC697" s="112"/>
    </row>
    <row r="698"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P698" s="121"/>
      <c r="R698" s="122"/>
      <c r="AC698" s="112"/>
    </row>
    <row r="699"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P699" s="121"/>
      <c r="R699" s="122"/>
      <c r="AC699" s="112"/>
    </row>
    <row r="700"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P700" s="121"/>
      <c r="R700" s="122"/>
      <c r="AC700" s="112"/>
    </row>
    <row r="701"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P701" s="121"/>
      <c r="R701" s="122"/>
      <c r="AC701" s="112"/>
    </row>
    <row r="702"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P702" s="121"/>
      <c r="R702" s="122"/>
      <c r="AC702" s="112"/>
    </row>
    <row r="703"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P703" s="121"/>
      <c r="R703" s="122"/>
      <c r="AC703" s="112"/>
    </row>
    <row r="704"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P704" s="121"/>
      <c r="R704" s="122"/>
      <c r="AC704" s="112"/>
    </row>
    <row r="705"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P705" s="121"/>
      <c r="R705" s="122"/>
      <c r="AC705" s="112"/>
    </row>
    <row r="706"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P706" s="121"/>
      <c r="R706" s="122"/>
      <c r="AC706" s="112"/>
    </row>
    <row r="707"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P707" s="121"/>
      <c r="R707" s="122"/>
      <c r="AC707" s="112"/>
    </row>
    <row r="708"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P708" s="121"/>
      <c r="R708" s="122"/>
      <c r="AC708" s="112"/>
    </row>
    <row r="709"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P709" s="121"/>
      <c r="R709" s="122"/>
      <c r="AC709" s="112"/>
    </row>
    <row r="710"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P710" s="121"/>
      <c r="R710" s="122"/>
      <c r="AC710" s="112"/>
    </row>
    <row r="711"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P711" s="121"/>
      <c r="R711" s="122"/>
      <c r="AC711" s="112"/>
    </row>
    <row r="712"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P712" s="121"/>
      <c r="R712" s="122"/>
      <c r="AC712" s="112"/>
    </row>
    <row r="713"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P713" s="121"/>
      <c r="R713" s="122"/>
      <c r="AC713" s="112"/>
    </row>
    <row r="714"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P714" s="121"/>
      <c r="R714" s="122"/>
      <c r="AC714" s="112"/>
    </row>
    <row r="715"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P715" s="121"/>
      <c r="R715" s="122"/>
      <c r="AC715" s="112"/>
    </row>
    <row r="716"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P716" s="121"/>
      <c r="R716" s="122"/>
      <c r="AC716" s="112"/>
    </row>
    <row r="717"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P717" s="121"/>
      <c r="R717" s="122"/>
      <c r="AC717" s="112"/>
    </row>
    <row r="718"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P718" s="121"/>
      <c r="R718" s="122"/>
      <c r="AC718" s="112"/>
    </row>
    <row r="719"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P719" s="121"/>
      <c r="R719" s="122"/>
      <c r="AC719" s="112"/>
    </row>
    <row r="720"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P720" s="121"/>
      <c r="R720" s="122"/>
      <c r="AC720" s="112"/>
    </row>
    <row r="721"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P721" s="121"/>
      <c r="R721" s="122"/>
      <c r="AC721" s="112"/>
    </row>
    <row r="722"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P722" s="121"/>
      <c r="R722" s="122"/>
      <c r="AC722" s="112"/>
    </row>
    <row r="723"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P723" s="121"/>
      <c r="R723" s="122"/>
      <c r="AC723" s="112"/>
    </row>
    <row r="724"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P724" s="121"/>
      <c r="R724" s="122"/>
      <c r="AC724" s="112"/>
    </row>
    <row r="725"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P725" s="121"/>
      <c r="R725" s="122"/>
      <c r="AC725" s="112"/>
    </row>
    <row r="726"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P726" s="121"/>
      <c r="R726" s="122"/>
      <c r="AC726" s="112"/>
    </row>
    <row r="727"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P727" s="121"/>
      <c r="R727" s="122"/>
      <c r="AC727" s="112"/>
    </row>
    <row r="728"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P728" s="121"/>
      <c r="R728" s="122"/>
      <c r="AC728" s="112"/>
    </row>
    <row r="729"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P729" s="121"/>
      <c r="R729" s="122"/>
      <c r="AC729" s="112"/>
    </row>
    <row r="730"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P730" s="121"/>
      <c r="R730" s="122"/>
      <c r="AC730" s="112"/>
    </row>
    <row r="731"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P731" s="121"/>
      <c r="R731" s="122"/>
      <c r="AC731" s="112"/>
    </row>
    <row r="732"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P732" s="121"/>
      <c r="R732" s="122"/>
      <c r="AC732" s="112"/>
    </row>
    <row r="733"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P733" s="121"/>
      <c r="R733" s="122"/>
      <c r="AC733" s="112"/>
    </row>
    <row r="734"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P734" s="121"/>
      <c r="R734" s="122"/>
      <c r="AC734" s="112"/>
    </row>
    <row r="735"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P735" s="121"/>
      <c r="R735" s="122"/>
      <c r="AC735" s="112"/>
    </row>
    <row r="736"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P736" s="121"/>
      <c r="R736" s="122"/>
      <c r="AC736" s="112"/>
    </row>
    <row r="737"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P737" s="121"/>
      <c r="R737" s="122"/>
      <c r="AC737" s="112"/>
    </row>
    <row r="738"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P738" s="121"/>
      <c r="R738" s="122"/>
      <c r="AC738" s="112"/>
    </row>
    <row r="739"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P739" s="121"/>
      <c r="R739" s="122"/>
      <c r="AC739" s="112"/>
    </row>
    <row r="740"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P740" s="121"/>
      <c r="R740" s="122"/>
      <c r="AC740" s="112"/>
    </row>
    <row r="741"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P741" s="121"/>
      <c r="R741" s="122"/>
      <c r="AC741" s="112"/>
    </row>
    <row r="742"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P742" s="121"/>
      <c r="R742" s="122"/>
      <c r="AC742" s="112"/>
    </row>
    <row r="743"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P743" s="121"/>
      <c r="R743" s="122"/>
      <c r="AC743" s="112"/>
    </row>
    <row r="744"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P744" s="121"/>
      <c r="R744" s="122"/>
      <c r="AC744" s="112"/>
    </row>
    <row r="745"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P745" s="121"/>
      <c r="R745" s="122"/>
      <c r="AC745" s="112"/>
    </row>
    <row r="746"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P746" s="121"/>
      <c r="R746" s="122"/>
      <c r="AC746" s="112"/>
    </row>
    <row r="747"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P747" s="121"/>
      <c r="R747" s="122"/>
      <c r="AC747" s="112"/>
    </row>
    <row r="748"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P748" s="121"/>
      <c r="R748" s="122"/>
      <c r="AC748" s="112"/>
    </row>
    <row r="749"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P749" s="121"/>
      <c r="R749" s="122"/>
      <c r="AC749" s="112"/>
    </row>
    <row r="750"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P750" s="121"/>
      <c r="R750" s="122"/>
      <c r="AC750" s="112"/>
    </row>
    <row r="751"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P751" s="121"/>
      <c r="R751" s="122"/>
      <c r="AC751" s="112"/>
    </row>
    <row r="752"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P752" s="121"/>
      <c r="R752" s="122"/>
      <c r="AC752" s="112"/>
    </row>
    <row r="753"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P753" s="121"/>
      <c r="R753" s="122"/>
      <c r="AC753" s="112"/>
    </row>
    <row r="754"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P754" s="121"/>
      <c r="R754" s="122"/>
      <c r="AC754" s="112"/>
    </row>
    <row r="755"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P755" s="121"/>
      <c r="R755" s="122"/>
      <c r="AC755" s="112"/>
    </row>
    <row r="756"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P756" s="121"/>
      <c r="R756" s="122"/>
      <c r="AC756" s="112"/>
    </row>
    <row r="757"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P757" s="121"/>
      <c r="R757" s="122"/>
      <c r="AC757" s="112"/>
    </row>
    <row r="758"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P758" s="121"/>
      <c r="R758" s="122"/>
      <c r="AC758" s="112"/>
    </row>
    <row r="759"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P759" s="121"/>
      <c r="R759" s="122"/>
      <c r="AC759" s="112"/>
    </row>
    <row r="760"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P760" s="121"/>
      <c r="R760" s="122"/>
      <c r="AC760" s="112"/>
    </row>
    <row r="761"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P761" s="121"/>
      <c r="R761" s="122"/>
      <c r="AC761" s="112"/>
    </row>
    <row r="762"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P762" s="121"/>
      <c r="R762" s="122"/>
      <c r="AC762" s="112"/>
    </row>
    <row r="763"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P763" s="121"/>
      <c r="R763" s="122"/>
      <c r="AC763" s="112"/>
    </row>
    <row r="764"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P764" s="121"/>
      <c r="R764" s="122"/>
      <c r="AC764" s="112"/>
    </row>
    <row r="765"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P765" s="121"/>
      <c r="R765" s="122"/>
      <c r="AC765" s="112"/>
    </row>
    <row r="766"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P766" s="121"/>
      <c r="R766" s="122"/>
      <c r="AC766" s="112"/>
    </row>
    <row r="767"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P767" s="121"/>
      <c r="R767" s="122"/>
      <c r="AC767" s="112"/>
    </row>
    <row r="768"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P768" s="121"/>
      <c r="R768" s="122"/>
      <c r="AC768" s="112"/>
    </row>
    <row r="769"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P769" s="121"/>
      <c r="R769" s="122"/>
      <c r="AC769" s="112"/>
    </row>
    <row r="770"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P770" s="121"/>
      <c r="R770" s="122"/>
      <c r="AC770" s="112"/>
    </row>
    <row r="771"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P771" s="121"/>
      <c r="R771" s="122"/>
      <c r="AC771" s="112"/>
    </row>
    <row r="772"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P772" s="121"/>
      <c r="R772" s="122"/>
      <c r="AC772" s="112"/>
    </row>
    <row r="773"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P773" s="121"/>
      <c r="R773" s="122"/>
      <c r="AC773" s="112"/>
    </row>
    <row r="774"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P774" s="121"/>
      <c r="R774" s="122"/>
      <c r="AC774" s="112"/>
    </row>
    <row r="775"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P775" s="121"/>
      <c r="R775" s="122"/>
      <c r="AC775" s="112"/>
    </row>
    <row r="776"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P776" s="121"/>
      <c r="R776" s="122"/>
      <c r="AC776" s="112"/>
    </row>
    <row r="777"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P777" s="121"/>
      <c r="R777" s="122"/>
      <c r="AC777" s="112"/>
    </row>
    <row r="778"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P778" s="121"/>
      <c r="R778" s="122"/>
      <c r="AC778" s="112"/>
    </row>
    <row r="779"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P779" s="121"/>
      <c r="R779" s="122"/>
      <c r="AC779" s="112"/>
    </row>
    <row r="780"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P780" s="121"/>
      <c r="R780" s="122"/>
      <c r="AC780" s="112"/>
    </row>
    <row r="781"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P781" s="121"/>
      <c r="R781" s="122"/>
      <c r="AC781" s="112"/>
    </row>
    <row r="782"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P782" s="121"/>
      <c r="R782" s="122"/>
      <c r="AC782" s="112"/>
    </row>
    <row r="783"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P783" s="121"/>
      <c r="R783" s="122"/>
      <c r="AC783" s="112"/>
    </row>
    <row r="784"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P784" s="121"/>
      <c r="R784" s="122"/>
      <c r="AC784" s="112"/>
    </row>
    <row r="785"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P785" s="121"/>
      <c r="R785" s="122"/>
      <c r="AC785" s="112"/>
    </row>
    <row r="786"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P786" s="121"/>
      <c r="R786" s="122"/>
      <c r="AC786" s="112"/>
    </row>
    <row r="787"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P787" s="121"/>
      <c r="R787" s="122"/>
      <c r="AC787" s="112"/>
    </row>
    <row r="788"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P788" s="121"/>
      <c r="R788" s="122"/>
      <c r="AC788" s="112"/>
    </row>
    <row r="789"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P789" s="121"/>
      <c r="R789" s="122"/>
      <c r="AC789" s="112"/>
    </row>
    <row r="790"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P790" s="121"/>
      <c r="R790" s="122"/>
      <c r="AC790" s="112"/>
    </row>
    <row r="791"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P791" s="121"/>
      <c r="R791" s="122"/>
      <c r="AC791" s="112"/>
    </row>
    <row r="792"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P792" s="121"/>
      <c r="R792" s="122"/>
      <c r="AC792" s="112"/>
    </row>
    <row r="793"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P793" s="121"/>
      <c r="R793" s="122"/>
      <c r="AC793" s="112"/>
    </row>
    <row r="794"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P794" s="121"/>
      <c r="R794" s="122"/>
      <c r="AC794" s="112"/>
    </row>
    <row r="795"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P795" s="121"/>
      <c r="R795" s="122"/>
      <c r="AC795" s="112"/>
    </row>
    <row r="796"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P796" s="121"/>
      <c r="R796" s="122"/>
      <c r="AC796" s="112"/>
    </row>
    <row r="797"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P797" s="121"/>
      <c r="R797" s="122"/>
      <c r="AC797" s="112"/>
    </row>
    <row r="798"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P798" s="121"/>
      <c r="R798" s="122"/>
      <c r="AC798" s="112"/>
    </row>
    <row r="799"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P799" s="121"/>
      <c r="R799" s="122"/>
      <c r="AC799" s="112"/>
    </row>
    <row r="800"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P800" s="121"/>
      <c r="R800" s="122"/>
      <c r="AC800" s="112"/>
    </row>
    <row r="801"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P801" s="121"/>
      <c r="R801" s="122"/>
      <c r="AC801" s="112"/>
    </row>
    <row r="802"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P802" s="121"/>
      <c r="R802" s="122"/>
      <c r="AC802" s="112"/>
    </row>
    <row r="803"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P803" s="121"/>
      <c r="R803" s="122"/>
      <c r="AC803" s="112"/>
    </row>
    <row r="804"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P804" s="121"/>
      <c r="R804" s="122"/>
      <c r="AC804" s="112"/>
    </row>
    <row r="805"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P805" s="121"/>
      <c r="R805" s="122"/>
      <c r="AC805" s="112"/>
    </row>
    <row r="806"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P806" s="121"/>
      <c r="R806" s="122"/>
      <c r="AC806" s="112"/>
    </row>
    <row r="807"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P807" s="121"/>
      <c r="R807" s="122"/>
      <c r="AC807" s="112"/>
    </row>
    <row r="808"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P808" s="121"/>
      <c r="R808" s="122"/>
      <c r="AC808" s="112"/>
    </row>
    <row r="809"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P809" s="121"/>
      <c r="R809" s="122"/>
      <c r="AC809" s="112"/>
    </row>
    <row r="810"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P810" s="121"/>
      <c r="R810" s="122"/>
      <c r="AC810" s="112"/>
    </row>
    <row r="811"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P811" s="121"/>
      <c r="R811" s="122"/>
      <c r="AC811" s="112"/>
    </row>
    <row r="812"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P812" s="121"/>
      <c r="R812" s="122"/>
      <c r="AC812" s="112"/>
    </row>
    <row r="813"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P813" s="121"/>
      <c r="R813" s="122"/>
      <c r="AC813" s="112"/>
    </row>
    <row r="814"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P814" s="121"/>
      <c r="R814" s="122"/>
      <c r="AC814" s="112"/>
    </row>
    <row r="815"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P815" s="121"/>
      <c r="R815" s="122"/>
      <c r="AC815" s="112"/>
    </row>
    <row r="816"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P816" s="121"/>
      <c r="R816" s="122"/>
      <c r="AC816" s="112"/>
    </row>
    <row r="817"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P817" s="121"/>
      <c r="R817" s="122"/>
      <c r="AC817" s="112"/>
    </row>
    <row r="818"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P818" s="121"/>
      <c r="R818" s="122"/>
      <c r="AC818" s="112"/>
    </row>
    <row r="819"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P819" s="121"/>
      <c r="R819" s="122"/>
      <c r="AC819" s="112"/>
    </row>
    <row r="820"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P820" s="121"/>
      <c r="R820" s="122"/>
      <c r="AC820" s="112"/>
    </row>
    <row r="821"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P821" s="121"/>
      <c r="R821" s="122"/>
      <c r="AC821" s="112"/>
    </row>
    <row r="822"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P822" s="121"/>
      <c r="R822" s="122"/>
      <c r="AC822" s="112"/>
    </row>
    <row r="823"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P823" s="121"/>
      <c r="R823" s="122"/>
      <c r="AC823" s="112"/>
    </row>
    <row r="824"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P824" s="121"/>
      <c r="R824" s="122"/>
      <c r="AC824" s="112"/>
    </row>
    <row r="825"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P825" s="121"/>
      <c r="R825" s="122"/>
      <c r="AC825" s="112"/>
    </row>
    <row r="826"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P826" s="121"/>
      <c r="R826" s="122"/>
      <c r="AC826" s="112"/>
    </row>
    <row r="827"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P827" s="121"/>
      <c r="R827" s="122"/>
      <c r="AC827" s="112"/>
    </row>
    <row r="828"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P828" s="121"/>
      <c r="R828" s="122"/>
      <c r="AC828" s="112"/>
    </row>
    <row r="829"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P829" s="121"/>
      <c r="R829" s="122"/>
      <c r="AC829" s="112"/>
    </row>
    <row r="830"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P830" s="121"/>
      <c r="R830" s="122"/>
      <c r="AC830" s="112"/>
    </row>
    <row r="831"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P831" s="121"/>
      <c r="R831" s="122"/>
      <c r="AC831" s="112"/>
    </row>
    <row r="832"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P832" s="121"/>
      <c r="R832" s="122"/>
      <c r="AC832" s="112"/>
    </row>
    <row r="833"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P833" s="121"/>
      <c r="R833" s="122"/>
      <c r="AC833" s="112"/>
    </row>
    <row r="834"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P834" s="121"/>
      <c r="R834" s="122"/>
      <c r="AC834" s="112"/>
    </row>
    <row r="835"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P835" s="121"/>
      <c r="R835" s="122"/>
      <c r="AC835" s="112"/>
    </row>
    <row r="836"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P836" s="121"/>
      <c r="R836" s="122"/>
      <c r="AC836" s="112"/>
    </row>
    <row r="837"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P837" s="121"/>
      <c r="R837" s="122"/>
      <c r="AC837" s="112"/>
    </row>
    <row r="838"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P838" s="121"/>
      <c r="R838" s="122"/>
      <c r="AC838" s="112"/>
    </row>
    <row r="839"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P839" s="121"/>
      <c r="R839" s="122"/>
      <c r="AC839" s="112"/>
    </row>
    <row r="840"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P840" s="121"/>
      <c r="R840" s="122"/>
      <c r="AC840" s="112"/>
    </row>
    <row r="841"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P841" s="121"/>
      <c r="R841" s="122"/>
      <c r="AC841" s="112"/>
    </row>
    <row r="842"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P842" s="121"/>
      <c r="R842" s="122"/>
      <c r="AC842" s="112"/>
    </row>
    <row r="843"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P843" s="121"/>
      <c r="R843" s="122"/>
      <c r="AC843" s="112"/>
    </row>
    <row r="844"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P844" s="121"/>
      <c r="R844" s="122"/>
      <c r="AC844" s="112"/>
    </row>
    <row r="845"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P845" s="121"/>
      <c r="R845" s="122"/>
      <c r="AC845" s="112"/>
    </row>
    <row r="846"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P846" s="121"/>
      <c r="R846" s="122"/>
      <c r="AC846" s="112"/>
    </row>
    <row r="847"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P847" s="121"/>
      <c r="R847" s="122"/>
      <c r="AC847" s="112"/>
    </row>
    <row r="848"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P848" s="121"/>
      <c r="R848" s="122"/>
      <c r="AC848" s="112"/>
    </row>
    <row r="849"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P849" s="121"/>
      <c r="R849" s="122"/>
      <c r="AC849" s="112"/>
    </row>
    <row r="850"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P850" s="121"/>
      <c r="R850" s="122"/>
      <c r="AC850" s="112"/>
    </row>
    <row r="851"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P851" s="121"/>
      <c r="R851" s="122"/>
      <c r="AC851" s="112"/>
    </row>
    <row r="852"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P852" s="121"/>
      <c r="R852" s="122"/>
      <c r="AC852" s="112"/>
    </row>
    <row r="853"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P853" s="121"/>
      <c r="R853" s="122"/>
      <c r="AC853" s="112"/>
    </row>
    <row r="854"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P854" s="121"/>
      <c r="R854" s="122"/>
      <c r="AC854" s="112"/>
    </row>
    <row r="855"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P855" s="121"/>
      <c r="R855" s="122"/>
      <c r="AC855" s="112"/>
    </row>
    <row r="856"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P856" s="121"/>
      <c r="R856" s="122"/>
      <c r="AC856" s="112"/>
    </row>
    <row r="857"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P857" s="121"/>
      <c r="R857" s="122"/>
      <c r="AC857" s="112"/>
    </row>
    <row r="858"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P858" s="121"/>
      <c r="R858" s="122"/>
      <c r="AC858" s="112"/>
    </row>
    <row r="859"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P859" s="121"/>
      <c r="R859" s="122"/>
      <c r="AC859" s="112"/>
    </row>
    <row r="860"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P860" s="121"/>
      <c r="R860" s="122"/>
      <c r="AC860" s="112"/>
    </row>
    <row r="861"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P861" s="121"/>
      <c r="R861" s="122"/>
      <c r="AC861" s="112"/>
    </row>
    <row r="862"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P862" s="121"/>
      <c r="R862" s="122"/>
      <c r="AC862" s="112"/>
    </row>
    <row r="863"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P863" s="121"/>
      <c r="R863" s="122"/>
      <c r="AC863" s="112"/>
    </row>
    <row r="864"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P864" s="121"/>
      <c r="R864" s="122"/>
      <c r="AC864" s="112"/>
    </row>
    <row r="865"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P865" s="121"/>
      <c r="R865" s="122"/>
      <c r="AC865" s="112"/>
    </row>
    <row r="866"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P866" s="121"/>
      <c r="R866" s="122"/>
      <c r="AC866" s="112"/>
    </row>
    <row r="867"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P867" s="121"/>
      <c r="R867" s="122"/>
      <c r="AC867" s="112"/>
    </row>
    <row r="868"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P868" s="121"/>
      <c r="R868" s="122"/>
      <c r="AC868" s="112"/>
    </row>
    <row r="869"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P869" s="121"/>
      <c r="R869" s="122"/>
      <c r="AC869" s="112"/>
    </row>
    <row r="870"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P870" s="121"/>
      <c r="R870" s="122"/>
      <c r="AC870" s="112"/>
    </row>
    <row r="871"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P871" s="121"/>
      <c r="R871" s="122"/>
      <c r="AC871" s="112"/>
    </row>
    <row r="872"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P872" s="121"/>
      <c r="R872" s="122"/>
      <c r="AC872" s="112"/>
    </row>
    <row r="873"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P873" s="121"/>
      <c r="R873" s="122"/>
      <c r="AC873" s="112"/>
    </row>
    <row r="874"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P874" s="121"/>
      <c r="R874" s="122"/>
      <c r="AC874" s="112"/>
    </row>
    <row r="875"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P875" s="121"/>
      <c r="R875" s="122"/>
      <c r="AC875" s="112"/>
    </row>
    <row r="876"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P876" s="121"/>
      <c r="R876" s="122"/>
      <c r="AC876" s="112"/>
    </row>
    <row r="877"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P877" s="121"/>
      <c r="R877" s="122"/>
      <c r="AC877" s="112"/>
    </row>
    <row r="878"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P878" s="121"/>
      <c r="R878" s="122"/>
      <c r="AC878" s="112"/>
    </row>
    <row r="879"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P879" s="121"/>
      <c r="R879" s="122"/>
      <c r="AC879" s="112"/>
    </row>
    <row r="880"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P880" s="121"/>
      <c r="R880" s="122"/>
      <c r="AC880" s="112"/>
    </row>
    <row r="881"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P881" s="121"/>
      <c r="R881" s="122"/>
      <c r="AC881" s="112"/>
    </row>
    <row r="882"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P882" s="121"/>
      <c r="R882" s="122"/>
      <c r="AC882" s="112"/>
    </row>
    <row r="883"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P883" s="121"/>
      <c r="R883" s="122"/>
      <c r="AC883" s="112"/>
    </row>
    <row r="884"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P884" s="121"/>
      <c r="R884" s="122"/>
      <c r="AC884" s="112"/>
    </row>
    <row r="885"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P885" s="121"/>
      <c r="R885" s="122"/>
      <c r="AC885" s="112"/>
    </row>
    <row r="886"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P886" s="121"/>
      <c r="R886" s="122"/>
      <c r="AC886" s="112"/>
    </row>
    <row r="887"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P887" s="121"/>
      <c r="R887" s="122"/>
      <c r="AC887" s="112"/>
    </row>
    <row r="888"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P888" s="121"/>
      <c r="R888" s="122"/>
      <c r="AC888" s="112"/>
    </row>
    <row r="889"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P889" s="121"/>
      <c r="R889" s="122"/>
      <c r="AC889" s="112"/>
    </row>
    <row r="890"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P890" s="121"/>
      <c r="R890" s="122"/>
      <c r="AC890" s="112"/>
    </row>
    <row r="891"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P891" s="121"/>
      <c r="R891" s="122"/>
      <c r="AC891" s="112"/>
    </row>
    <row r="892"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P892" s="121"/>
      <c r="R892" s="122"/>
      <c r="AC892" s="112"/>
    </row>
    <row r="893"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P893" s="121"/>
      <c r="R893" s="122"/>
      <c r="AC893" s="112"/>
    </row>
    <row r="894"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P894" s="121"/>
      <c r="R894" s="122"/>
      <c r="AC894" s="112"/>
    </row>
    <row r="895"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P895" s="121"/>
      <c r="R895" s="122"/>
      <c r="AC895" s="112"/>
    </row>
    <row r="896"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P896" s="121"/>
      <c r="R896" s="122"/>
      <c r="AC896" s="112"/>
    </row>
    <row r="897"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P897" s="121"/>
      <c r="R897" s="122"/>
      <c r="AC897" s="112"/>
    </row>
    <row r="898"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P898" s="121"/>
      <c r="R898" s="122"/>
      <c r="AC898" s="112"/>
    </row>
    <row r="899"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P899" s="121"/>
      <c r="R899" s="122"/>
      <c r="AC899" s="112"/>
    </row>
    <row r="900"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P900" s="121"/>
      <c r="R900" s="122"/>
      <c r="AC900" s="112"/>
    </row>
    <row r="901"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P901" s="121"/>
      <c r="R901" s="122"/>
      <c r="AC901" s="112"/>
    </row>
    <row r="902"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P902" s="121"/>
      <c r="R902" s="122"/>
      <c r="AC902" s="112"/>
    </row>
    <row r="903"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P903" s="121"/>
      <c r="R903" s="122"/>
      <c r="AC903" s="112"/>
    </row>
    <row r="904"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P904" s="121"/>
      <c r="R904" s="122"/>
      <c r="AC904" s="112"/>
    </row>
    <row r="905"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P905" s="121"/>
      <c r="R905" s="122"/>
      <c r="AC905" s="112"/>
    </row>
    <row r="906"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P906" s="121"/>
      <c r="R906" s="122"/>
      <c r="AC906" s="112"/>
    </row>
    <row r="907"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P907" s="121"/>
      <c r="R907" s="122"/>
      <c r="AC907" s="112"/>
    </row>
    <row r="908"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P908" s="121"/>
      <c r="R908" s="122"/>
      <c r="AC908" s="112"/>
    </row>
    <row r="909"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P909" s="121"/>
      <c r="R909" s="122"/>
      <c r="AC909" s="112"/>
    </row>
    <row r="910"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P910" s="121"/>
      <c r="R910" s="122"/>
      <c r="AC910" s="112"/>
    </row>
    <row r="911"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P911" s="121"/>
      <c r="R911" s="122"/>
      <c r="AC911" s="112"/>
    </row>
    <row r="912"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P912" s="121"/>
      <c r="R912" s="122"/>
      <c r="AC912" s="112"/>
    </row>
    <row r="913"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P913" s="121"/>
      <c r="R913" s="122"/>
      <c r="AC913" s="112"/>
    </row>
    <row r="914"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P914" s="121"/>
      <c r="R914" s="122"/>
      <c r="AC914" s="112"/>
    </row>
    <row r="915"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P915" s="121"/>
      <c r="R915" s="122"/>
      <c r="AC915" s="112"/>
    </row>
    <row r="916"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P916" s="121"/>
      <c r="R916" s="122"/>
      <c r="AC916" s="112"/>
    </row>
    <row r="917"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P917" s="121"/>
      <c r="R917" s="122"/>
      <c r="AC917" s="112"/>
    </row>
    <row r="918"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P918" s="121"/>
      <c r="R918" s="122"/>
      <c r="AC918" s="112"/>
    </row>
    <row r="919"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P919" s="121"/>
      <c r="R919" s="122"/>
      <c r="AC919" s="112"/>
    </row>
    <row r="920"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P920" s="121"/>
      <c r="R920" s="122"/>
      <c r="AC920" s="112"/>
    </row>
    <row r="921"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P921" s="121"/>
      <c r="R921" s="122"/>
      <c r="AC921" s="112"/>
    </row>
    <row r="922"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P922" s="121"/>
      <c r="R922" s="122"/>
      <c r="AC922" s="112"/>
    </row>
    <row r="923"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P923" s="121"/>
      <c r="R923" s="122"/>
      <c r="AC923" s="112"/>
    </row>
    <row r="924"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P924" s="121"/>
      <c r="R924" s="122"/>
      <c r="AC924" s="112"/>
    </row>
    <row r="925"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P925" s="121"/>
      <c r="R925" s="122"/>
      <c r="AC925" s="112"/>
    </row>
    <row r="926"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P926" s="121"/>
      <c r="R926" s="122"/>
      <c r="AC926" s="112"/>
    </row>
    <row r="927"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P927" s="121"/>
      <c r="R927" s="122"/>
      <c r="AC927" s="112"/>
    </row>
    <row r="928"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P928" s="121"/>
      <c r="R928" s="122"/>
      <c r="AC928" s="112"/>
    </row>
    <row r="929"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P929" s="121"/>
      <c r="R929" s="122"/>
      <c r="AC929" s="112"/>
    </row>
    <row r="930"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P930" s="121"/>
      <c r="R930" s="122"/>
      <c r="AC930" s="112"/>
    </row>
    <row r="931"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P931" s="121"/>
      <c r="R931" s="122"/>
      <c r="AC931" s="112"/>
    </row>
    <row r="932"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P932" s="121"/>
      <c r="R932" s="122"/>
      <c r="AC932" s="112"/>
    </row>
    <row r="933"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P933" s="121"/>
      <c r="R933" s="122"/>
      <c r="AC933" s="112"/>
    </row>
    <row r="934"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P934" s="121"/>
      <c r="R934" s="122"/>
      <c r="AC934" s="112"/>
    </row>
    <row r="935"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P935" s="121"/>
      <c r="R935" s="122"/>
      <c r="AC935" s="112"/>
    </row>
    <row r="936"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P936" s="121"/>
      <c r="R936" s="122"/>
      <c r="AC936" s="112"/>
    </row>
    <row r="937"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P937" s="121"/>
      <c r="R937" s="122"/>
      <c r="AC937" s="112"/>
    </row>
    <row r="938"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P938" s="121"/>
      <c r="R938" s="122"/>
      <c r="AC938" s="112"/>
    </row>
    <row r="939"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P939" s="121"/>
      <c r="R939" s="122"/>
      <c r="AC939" s="112"/>
    </row>
    <row r="940"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P940" s="121"/>
      <c r="R940" s="122"/>
      <c r="AC940" s="112"/>
    </row>
    <row r="941"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P941" s="121"/>
      <c r="R941" s="122"/>
      <c r="AC941" s="112"/>
    </row>
    <row r="942"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P942" s="121"/>
      <c r="R942" s="122"/>
      <c r="AC942" s="112"/>
    </row>
    <row r="943"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P943" s="121"/>
      <c r="R943" s="122"/>
      <c r="AC943" s="112"/>
    </row>
    <row r="944"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P944" s="121"/>
      <c r="R944" s="122"/>
      <c r="AC944" s="112"/>
    </row>
    <row r="945"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P945" s="121"/>
      <c r="R945" s="122"/>
      <c r="AC945" s="112"/>
    </row>
    <row r="946"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P946" s="121"/>
      <c r="R946" s="122"/>
      <c r="AC946" s="112"/>
    </row>
    <row r="947"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P947" s="121"/>
      <c r="R947" s="122"/>
      <c r="AC947" s="112"/>
    </row>
    <row r="948"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P948" s="121"/>
      <c r="R948" s="122"/>
      <c r="AC948" s="112"/>
    </row>
    <row r="949"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P949" s="121"/>
      <c r="R949" s="122"/>
      <c r="AC949" s="112"/>
    </row>
    <row r="950"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P950" s="121"/>
      <c r="R950" s="122"/>
      <c r="AC950" s="112"/>
    </row>
    <row r="951"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P951" s="121"/>
      <c r="R951" s="122"/>
      <c r="AC951" s="112"/>
    </row>
    <row r="952"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P952" s="121"/>
      <c r="R952" s="122"/>
      <c r="AC952" s="112"/>
    </row>
    <row r="953"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P953" s="121"/>
      <c r="R953" s="122"/>
      <c r="AC953" s="112"/>
    </row>
    <row r="954"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P954" s="121"/>
      <c r="R954" s="122"/>
      <c r="AC954" s="112"/>
    </row>
    <row r="955"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P955" s="121"/>
      <c r="R955" s="122"/>
      <c r="AC955" s="112"/>
    </row>
    <row r="956"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P956" s="121"/>
      <c r="R956" s="122"/>
      <c r="AC956" s="112"/>
    </row>
    <row r="957"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P957" s="121"/>
      <c r="R957" s="122"/>
      <c r="AC957" s="112"/>
    </row>
    <row r="958"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P958" s="121"/>
      <c r="R958" s="122"/>
      <c r="AC958" s="112"/>
    </row>
    <row r="959"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P959" s="121"/>
      <c r="R959" s="122"/>
      <c r="AC959" s="112"/>
    </row>
    <row r="960"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P960" s="121"/>
      <c r="R960" s="122"/>
      <c r="AC960" s="112"/>
    </row>
    <row r="961"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P961" s="121"/>
      <c r="R961" s="122"/>
      <c r="AC961" s="112"/>
    </row>
    <row r="962"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P962" s="121"/>
      <c r="R962" s="122"/>
      <c r="AC962" s="112"/>
    </row>
    <row r="963"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P963" s="121"/>
      <c r="R963" s="122"/>
      <c r="AC963" s="112"/>
    </row>
    <row r="964"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P964" s="121"/>
      <c r="R964" s="122"/>
      <c r="AC964" s="112"/>
    </row>
    <row r="965"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P965" s="121"/>
      <c r="R965" s="122"/>
      <c r="AC965" s="112"/>
    </row>
    <row r="966"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P966" s="121"/>
      <c r="R966" s="122"/>
      <c r="AC966" s="112"/>
    </row>
    <row r="967"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P967" s="121"/>
      <c r="R967" s="122"/>
      <c r="AC967" s="112"/>
    </row>
    <row r="968"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P968" s="121"/>
      <c r="R968" s="122"/>
      <c r="AC968" s="112"/>
    </row>
    <row r="969"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P969" s="121"/>
      <c r="R969" s="122"/>
      <c r="AC969" s="112"/>
    </row>
    <row r="970"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P970" s="121"/>
      <c r="R970" s="122"/>
      <c r="AC970" s="112"/>
    </row>
    <row r="971"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P971" s="121"/>
      <c r="R971" s="122"/>
      <c r="AC971" s="112"/>
    </row>
    <row r="972"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P972" s="121"/>
      <c r="R972" s="122"/>
      <c r="AC972" s="112"/>
    </row>
    <row r="973"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P973" s="121"/>
      <c r="R973" s="122"/>
      <c r="AC973" s="112"/>
    </row>
    <row r="974"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P974" s="121"/>
      <c r="R974" s="122"/>
      <c r="AC974" s="112"/>
    </row>
    <row r="975"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P975" s="121"/>
      <c r="R975" s="122"/>
      <c r="AC975" s="112"/>
    </row>
    <row r="976"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P976" s="121"/>
      <c r="R976" s="122"/>
      <c r="AC976" s="112"/>
    </row>
    <row r="977"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P977" s="121"/>
      <c r="R977" s="122"/>
      <c r="AC977" s="112"/>
    </row>
    <row r="978"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P978" s="121"/>
      <c r="R978" s="122"/>
      <c r="AC978" s="112"/>
    </row>
    <row r="979"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P979" s="121"/>
      <c r="R979" s="122"/>
      <c r="AC979" s="112"/>
    </row>
    <row r="980"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P980" s="121"/>
      <c r="R980" s="122"/>
      <c r="AC980" s="112"/>
    </row>
    <row r="981"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P981" s="121"/>
      <c r="R981" s="122"/>
      <c r="AC981" s="112"/>
    </row>
    <row r="982"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P982" s="121"/>
      <c r="R982" s="122"/>
      <c r="AC982" s="112"/>
    </row>
    <row r="983"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P983" s="121"/>
      <c r="R983" s="122"/>
      <c r="AC983" s="112"/>
    </row>
    <row r="984"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P984" s="121"/>
      <c r="R984" s="122"/>
      <c r="AC984" s="112"/>
    </row>
    <row r="985"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P985" s="121"/>
      <c r="R985" s="122"/>
      <c r="AC985" s="112"/>
    </row>
    <row r="986"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P986" s="121"/>
      <c r="R986" s="122"/>
      <c r="AC986" s="112"/>
    </row>
    <row r="987"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P987" s="121"/>
      <c r="R987" s="122"/>
      <c r="AC987" s="112"/>
    </row>
    <row r="988"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P988" s="121"/>
      <c r="R988" s="122"/>
      <c r="AC988" s="112"/>
    </row>
    <row r="989"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P989" s="121"/>
      <c r="R989" s="122"/>
      <c r="AC989" s="112"/>
    </row>
    <row r="990"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P990" s="121"/>
      <c r="R990" s="122"/>
      <c r="AC990" s="112"/>
    </row>
    <row r="991"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P991" s="121"/>
      <c r="R991" s="122"/>
      <c r="AC991" s="112"/>
    </row>
    <row r="992"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P992" s="121"/>
      <c r="R992" s="122"/>
      <c r="AC992" s="112"/>
    </row>
    <row r="993"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P993" s="121"/>
      <c r="R993" s="122"/>
      <c r="AC993" s="112"/>
    </row>
    <row r="994"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P994" s="121"/>
      <c r="R994" s="122"/>
      <c r="AC994" s="112"/>
    </row>
    <row r="995"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P995" s="121"/>
      <c r="R995" s="122"/>
      <c r="AC995" s="112"/>
    </row>
    <row r="996"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P996" s="121"/>
      <c r="R996" s="122"/>
      <c r="AC996" s="112"/>
    </row>
    <row r="997"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P997" s="121"/>
      <c r="R997" s="122"/>
      <c r="AC997" s="112"/>
    </row>
    <row r="998"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P998" s="121"/>
      <c r="R998" s="122"/>
      <c r="AC998" s="112"/>
    </row>
    <row r="999"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P999" s="121"/>
      <c r="R999" s="122"/>
      <c r="AC999" s="112"/>
    </row>
    <row r="1000"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P1000" s="121"/>
      <c r="R1000" s="122"/>
      <c r="AC1000" s="112"/>
    </row>
    <row r="1001"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P1001" s="121"/>
      <c r="R1001" s="122"/>
      <c r="AC1001" s="112"/>
    </row>
    <row r="1002"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P1002" s="121"/>
      <c r="R1002" s="122"/>
      <c r="AC1002" s="112"/>
    </row>
    <row r="1003">
      <c r="C1003" s="163"/>
      <c r="D1003" s="163"/>
      <c r="E1003" s="163"/>
      <c r="F1003" s="163"/>
      <c r="G1003" s="163"/>
      <c r="H1003" s="163"/>
      <c r="I1003" s="163"/>
      <c r="J1003" s="163"/>
      <c r="K1003" s="163"/>
      <c r="L1003" s="163"/>
      <c r="P1003" s="121"/>
      <c r="R1003" s="122"/>
      <c r="AC1003" s="112"/>
    </row>
  </sheetData>
  <mergeCells count="2">
    <mergeCell ref="A1:A2"/>
    <mergeCell ref="B1:B2"/>
  </mergeCells>
  <drawing r:id="rId1"/>
  <tableParts count="2">
    <tablePart r:id="rId4"/>
    <tablePart r:id="rId5"/>
  </tableParts>
</worksheet>
</file>